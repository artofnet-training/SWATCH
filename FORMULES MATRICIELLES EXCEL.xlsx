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trlProps/ctrlProp3.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xl/webextensions/webextension5.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updateLinks="never" codeName="ThisWorkbook"/>
  <mc:AlternateContent xmlns:mc="http://schemas.openxmlformats.org/markup-compatibility/2006">
    <mc:Choice Requires="x15">
      <x15ac:absPath xmlns:x15ac="http://schemas.microsoft.com/office/spreadsheetml/2010/11/ac" url="https://lmoreau.sharepoint.com/sites/FORMATIONS2/EXCEL/EXCEL MODULES/FORMULES MATRICIELLES/"/>
    </mc:Choice>
  </mc:AlternateContent>
  <xr:revisionPtr revIDLastSave="955" documentId="8_{D8E8A8AA-C771-4C82-AC3D-7AD05BBEF781}" xr6:coauthVersionLast="47" xr6:coauthVersionMax="47" xr10:uidLastSave="{CEF5BADC-0B2E-4951-A755-CC450CEA6F5E}"/>
  <workbookProtection lockStructure="1"/>
  <bookViews>
    <workbookView xWindow="-120" yWindow="-120" windowWidth="29040" windowHeight="16440" firstSheet="8" activeTab="8" xr2:uid="{7015EBEA-96E4-4862-A530-BDBC7F61C54A}"/>
  </bookViews>
  <sheets>
    <sheet name="TRADFUNCTIONS" sheetId="39" state="hidden" r:id="rId1"/>
    <sheet name="TRAD" sheetId="38" state="hidden" r:id="rId2"/>
    <sheet name="MENU" sheetId="22" r:id="rId3"/>
    <sheet name="A1. 365" sheetId="14" r:id="rId4"/>
    <sheet name="A2. ARRAY" sheetId="33" r:id="rId5"/>
    <sheet name="33. SUMPRODUCT" sheetId="2" state="hidden" r:id="rId6"/>
    <sheet name="50. FILTER" sheetId="1" r:id="rId7"/>
    <sheet name="50. SORT" sheetId="13" r:id="rId8"/>
    <sheet name="60. INDEX" sheetId="23" r:id="rId9"/>
    <sheet name="60. VLOOKUP" sheetId="17" r:id="rId10"/>
    <sheet name="60. XLOOKUP" sheetId="11" r:id="rId11"/>
    <sheet name="78. TABLE MANIP." sheetId="34" r:id="rId12"/>
    <sheet name="70. FREQUENCY - RANK" sheetId="28" state="hidden" r:id="rId13"/>
  </sheets>
  <definedNames>
    <definedName name="_xlnm._FilterDatabase" localSheetId="6" hidden="1">'50. FILTER'!$B$3:$H$23</definedName>
    <definedName name="_xlpm.currTbl" hidden="1">#NAME?</definedName>
    <definedName name="_xlpm.rng" hidden="1">#NAME?</definedName>
    <definedName name="_xlpm.start" hidden="1">#NAME?</definedName>
    <definedName name="_xlpm.values" hidden="1">#NAME?</definedName>
    <definedName name="aire_cercle">_xlfn.LAMBDA(_xlpm.r,PI()*_xlpm.r^2)</definedName>
    <definedName name="ANDvalue">IF(eng_flag,"AND","ET")</definedName>
    <definedName name="Born_in">'50. FILTER'!$E$4:$E$23</definedName>
    <definedName name="CalculDesHeures">#REF!</definedName>
    <definedName name="City">'50. FILTER'!$G$4:$G$23</definedName>
    <definedName name="COGS" comment="This function calculates Cost Of Goods Sold (COGS) based on number of units at the beginning of the period (Begin), number of units at the end of the period (End) and the value per unit (Value) using the formula: (Begin-End)*Value.">_xlfn.LAMBDA(_xlpm.Begin,_xlpm.End,_xlpm.Value,(_xlpm.Begin - _xlpm.End) * _xlpm.Value)</definedName>
    <definedName name="Createlink">_xlfn.LAMBDA(_xlpm.sheet,_xlpm.label, HYPERLINK("#'" &amp; _xlpm.sheet &amp; "'!A1", _xlpm.label))</definedName>
    <definedName name="DELTA">#REF!</definedName>
    <definedName name="Department">'50. FILTER'!$B$4:$B$23</definedName>
    <definedName name="Employee">'50. FILTER'!$C$4:$C$23</definedName>
    <definedName name="Employee_ID">IF(eng_flag,"ID","ID")</definedName>
    <definedName name="eng_flag">TRAD!$C$4=1</definedName>
    <definedName name="FiscalQLookupTable" comment="Approximate Match Lookup Table to convert month number to fiscal quarter number where July 1 is first month in fiscal quarter.">{1,3;4,4;7,1;10,2}</definedName>
    <definedName name="FiscalQuarter" comment="This function allows you to enter a serial number date and the function will deliver a fiscal quarter based on July 1 as first day in Fiscal Year.">_xlfn.LAMBDA(_xlpm.Date,"Q" &amp; LOOKUP(MONTH(_xlpm.Date), {1,3;4,4;7,1;10,2}))</definedName>
    <definedName name="Gender">'50. FILTER'!$F$4:$F$23</definedName>
    <definedName name="HX_BonusFromID">#REF!</definedName>
    <definedName name="HX_EmployeeID">#REF!</definedName>
    <definedName name="HX_SalaryRange">#REF!</definedName>
    <definedName name="Liste_base">'50. FILTER'!$B$4:$H$23</definedName>
    <definedName name="Liste_Liens_Menu">TRAD!$D$15:$D$29</definedName>
    <definedName name="lst_moiscourt">TRAD!$O$13:$O$24</definedName>
    <definedName name="lst_moislong">TRAD!$P$13:$P$24</definedName>
    <definedName name="lst_monthlong">TRAD!$R$13:$R$24</definedName>
    <definedName name="lst_monthShort">TRAD!$Q$13:$Q$24</definedName>
    <definedName name="MENU_CHOICE">IF(eng_flag,TRAD!$B$13:$B$29,TRAD!$C$13:$C$29)</definedName>
    <definedName name="Missing_txt">IF(eng_flag,"MISSING DATA ON ROW","DONNEES MANQUANTES A LA LIGNE ")</definedName>
    <definedName name="NotFound">IF(eng_flag,"Not found","Pas Trouvé")</definedName>
    <definedName name="ORvalue">IF(eng_flag,"OR","OU")</definedName>
    <definedName name="Q1_horiz">{"Jan","Feb","Mar"}</definedName>
    <definedName name="Q2h">{"avr","mai","jun"}</definedName>
    <definedName name="Quarter1">{"January";"February";"March"}</definedName>
    <definedName name="RC_des_cubes">_xlfn.LAMBDA(_xlpm.a,_xlpm.b,ROUNDUP(SQRT(_xlpm.a^3+_xlpm.b^3),0))</definedName>
    <definedName name="RemoveChar" comment="This function uses recursion to remove the specified digits from a text string.">_xlfn.LAMBDA(_xlpm.Text,_xlpm.CharToRemove, IF(_xlpm.CharToRemove="", TRIM(_xlpm.Text), RemoveChar(SUBSTITUTE(_xlpm.Text,LEFT(_xlpm.CharToRemove),""), RIGHT(_xlpm.CharToRemove,LEN(_xlpm.CharToRemove)-1))))</definedName>
    <definedName name="RemoveCharR" comment="Remove specified characters listed in a single cell using REDUCE.">_xlfn.LAMBDA(_xlpm.Text,_xlpm.CharToRemove, TRIM(_xlfn.REDUCE(_xlpm.Text, MID(_xlpm.CharToRemove,_xlfn.SEQUENCE(LEN(_xlpm.CharToRemove)),1), _xlfn.LAMBDA(_xlpm.i,_xlpm.a,SUBSTITUTE(_xlpm.i,_xlpm.a,"")))))</definedName>
    <definedName name="RemoveNumbersFromText" comment="This function will remove the digits 0,1,2,3,4,5,6,7,8,9 from a test string.">_xlfn.LAMBDA(_xlpm.text,TRIM(_xlfn.REDUCE(_xlpm.text, _xlfn.SEQUENCE(10, , 0), _xlfn.LAMBDA(_xlpm.i,_xlpm.a, SUBSTITUTE(_xlpm.i, _xlpm.a, "")))))</definedName>
    <definedName name="rng_Filter">'50. FILTER'!$B$4:$H$23</definedName>
    <definedName name="Salary">'50. FILTER'!$D$4:$D$23</definedName>
    <definedName name="salfilt">'50. FILTER'!$M$6:$M$13</definedName>
    <definedName name="ShowFormulas">_xlfn.LAMBDA(_xlpm.reference,IFERROR(_xlfn.TOCOL(ADDRESS(ROW(_xlpm.reference), COLUMN(_xlpm.reference), 4) &amp; ": " &amp; _xlfn.FORMULATEXT(_xlpm.reference), 2), ""))</definedName>
    <definedName name="SpaceBeforeCaps" comment="This function will insert spaces before capital letters.">_xlfn.LAMBDA(_xlpm.Text, TRIM(_xlfn.REDUCE( _xlpm.Text, CHAR(_xlfn.SEQUENCE(26, , 65)), _xlfn.LAMBDA(_xlpm.i,_xlpm.a, SUBSTITUTE(_xlpm.i, _xlpm.a, " "&amp;_xlpm.a)))))</definedName>
    <definedName name="statusList">IF(eng_flag,TRAD!$P$29:$P$35,TRAD!$Q$29:$Q$35)</definedName>
    <definedName name="tauxTVA">'50. FILTER'!$U$17</definedName>
    <definedName name="total1693">#REF!</definedName>
    <definedName name="TradSheetLocator">TRAD!$A$39</definedName>
    <definedName name="Translatefct">_xlfn.LAMBDA(_xlpm.fct_index,_xlpm.Desc_flag,VLOOKUP(_xlpm.fct_index,tbl_tradfunctions[],3-eng_flag+_xlpm.Desc_flag*2))</definedName>
    <definedName name="TranslateMe">_xlfn.LAMBDA(_xlpm.cellref,IF(eng_flag,INDEX(TRAD!$B:$B,_xlpm.cellref),INDEX(TRAD!$C:$C,_xlpm.cellref)))</definedName>
    <definedName name="txt_BornIn">IF(eng_flag,"Born in","Né(e) en ")</definedName>
    <definedName name="txt_Country">IF(eng_flag,"Country","Pays")</definedName>
    <definedName name="txt_days">IF(eng_flag," days "," jours ")</definedName>
    <definedName name="txt_dpt">IF(eng_flag,"Department","Département")</definedName>
    <definedName name="txt_Employe">IF(eng_flag,"Employee","Employé")</definedName>
    <definedName name="txt_Genre">IF(eng_flag,"Gender","Genre")</definedName>
    <definedName name="txt_hours">IF(eng_flag,"Hours","Heures")</definedName>
    <definedName name="txt_Month_trad">IF(eng_flag," Month "," Mois ")</definedName>
    <definedName name="txt_Name">IF(eng_flag,"Name","Nom")</definedName>
    <definedName name="txt_NotFound">IF(eng_flag,"NOT FOUND","NON TROUVE")</definedName>
    <definedName name="txt_PA">IF(eng_flag,"Cost","Prix achat")</definedName>
    <definedName name="txt_Prod">IF(eng_flag,"Products","Produits")</definedName>
    <definedName name="txt_PU">IF(eng_flag,"Unit Price","Prix unitaire")</definedName>
    <definedName name="txt_Qte">IF(eng_flag,"Qty","Qté")</definedName>
    <definedName name="txt_Quarter">IF(eng_flag,"Q","T")</definedName>
    <definedName name="txt_Revenu">IF(eng_flag,"Revenue","Revenu")</definedName>
    <definedName name="txt_salaire">IF(eng_flag,"Salary","Salaire")</definedName>
    <definedName name="txt_status">IF(eng_flag,"Status","Statut")</definedName>
    <definedName name="txt_SUM">IF(eng_flag,"SUM","SOMME")</definedName>
    <definedName name="txt_VILLE">IF(eng_flag,"City","Ville")</definedName>
    <definedName name="txt_Year">IF(eng_flag,"Year","Année")</definedName>
    <definedName name="txt_years">IF(eng_flag," year "," ans ")</definedName>
    <definedName name="yesvalue">IF(eng_flag,"YES","OUI")</definedName>
    <definedName name="ZeroToTen" comment="Name creates a vertical array of numbers from 0 to 10.">_xlfn.SEQUENCE(11, , 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17" l="1"/>
  <c r="F28" i="13" a="1"/>
  <c r="F28" i="13" s="1"/>
  <c r="F93" i="33"/>
  <c r="J65" i="33" a="1"/>
  <c r="J65" i="33" s="1"/>
  <c r="G65" i="33" a="1"/>
  <c r="G65" i="33" s="1"/>
  <c r="B65" i="33" a="1"/>
  <c r="B65" i="33" s="1"/>
  <c r="I59" i="33" a="1"/>
  <c r="I59" i="33" s="1"/>
  <c r="I55" i="33" a="1"/>
  <c r="I55" i="33" s="1"/>
  <c r="C42" i="33" a="1"/>
  <c r="C45" i="33"/>
  <c r="B17" i="33" a="1"/>
  <c r="B17" i="33" s="1"/>
  <c r="F4" i="33" a="1"/>
  <c r="F4" i="33" s="1"/>
  <c r="F84" i="34" a="1"/>
  <c r="F84" i="34" s="1"/>
  <c r="F77" i="34" a="1"/>
  <c r="F77" i="34" s="1"/>
  <c r="B23" i="34" a="1"/>
  <c r="B23" i="34" s="1"/>
  <c r="E6" i="11"/>
  <c r="I58" i="33"/>
  <c r="D69" i="33" l="1" a="1"/>
  <c r="D69" i="33" s="1"/>
  <c r="C42" i="33"/>
  <c r="K44" i="11" l="1" a="1"/>
  <c r="K44" i="11" s="1"/>
  <c r="B84" i="33" a="1"/>
  <c r="B84" i="33" s="1"/>
  <c r="B3" i="22" a="1"/>
  <c r="B3" i="22" s="1"/>
  <c r="N27" i="34" a="1"/>
  <c r="N27" i="34" s="1"/>
  <c r="N26" i="34" a="1"/>
  <c r="N26" i="34" s="1"/>
  <c r="P30" i="34" a="1"/>
  <c r="P30" i="34" s="1"/>
  <c r="P29" i="34" a="1"/>
  <c r="P29" i="34" s="1"/>
  <c r="J110" i="33" a="1"/>
  <c r="J110" i="33" s="1"/>
  <c r="L110" i="33" s="1" a="1"/>
  <c r="L110" i="33" s="1"/>
  <c r="M110" i="33" s="1" a="1"/>
  <c r="M110" i="33" s="1"/>
  <c r="H110" i="33" a="1"/>
  <c r="H110" i="33" s="1"/>
  <c r="F110" i="33" a="1"/>
  <c r="F110" i="33" s="1"/>
  <c r="A99" i="33" a="1"/>
  <c r="A99" i="33" s="1"/>
  <c r="D93" i="33" a="1"/>
  <c r="D93" i="33" s="1"/>
  <c r="B98" i="33" a="1"/>
  <c r="B98" i="33" s="1"/>
  <c r="B97" i="33" a="1"/>
  <c r="B97" i="33" s="1"/>
  <c r="A101" i="33" a="1"/>
  <c r="A101" i="33" s="1"/>
  <c r="B99" i="33" a="1"/>
  <c r="B99" i="33" s="1"/>
  <c r="D84" i="33" a="1"/>
  <c r="B72" i="33" a="1"/>
  <c r="B72" i="33" s="1"/>
  <c r="B75" i="33" a="1"/>
  <c r="B75" i="33" s="1"/>
  <c r="B53" i="33" a="1"/>
  <c r="B53" i="33" s="1"/>
  <c r="J63" i="33" a="1"/>
  <c r="J63" i="33" s="1"/>
  <c r="G63" i="33" a="1"/>
  <c r="G63" i="33" s="1"/>
  <c r="D65" i="33" a="1"/>
  <c r="D65" i="33" s="1"/>
  <c r="B63" i="33" a="1"/>
  <c r="B63" i="33" s="1"/>
  <c r="F56" i="33" a="1"/>
  <c r="F56" i="33" s="1"/>
  <c r="F57" i="33" a="1"/>
  <c r="F57" i="33" s="1"/>
  <c r="F54" i="33" a="1"/>
  <c r="F54" i="33" s="1"/>
  <c r="B47" i="33" a="1"/>
  <c r="B47" i="33" s="1"/>
  <c r="F7" i="33" a="1"/>
  <c r="F7" i="33" s="1"/>
  <c r="B22" i="33" a="1"/>
  <c r="B22" i="33" s="1"/>
  <c r="F6" i="33" a="1"/>
  <c r="F6" i="33" s="1"/>
  <c r="H12" i="33" a="1"/>
  <c r="H12" i="33" s="1"/>
  <c r="D11" i="33" a="1"/>
  <c r="D11" i="33" s="1"/>
  <c r="F2" i="33" a="1"/>
  <c r="F2" i="33" s="1"/>
  <c r="B2" i="33" a="1"/>
  <c r="B2" i="33" s="1"/>
  <c r="G1" i="33" a="1"/>
  <c r="G1" i="33" s="1"/>
  <c r="J4" i="33" a="1"/>
  <c r="J4" i="33" s="1"/>
  <c r="B50" i="14" a="1"/>
  <c r="B50" i="14" s="1"/>
  <c r="B42" i="14" a="1"/>
  <c r="B42" i="14" s="1"/>
  <c r="B28" i="14" a="1"/>
  <c r="B28" i="14" s="1"/>
  <c r="B23" i="14" a="1"/>
  <c r="B23" i="14" s="1"/>
  <c r="B3" i="14" a="1"/>
  <c r="B3" i="14" s="1"/>
  <c r="C1" i="14" a="1"/>
  <c r="C1" i="14" s="1"/>
  <c r="C1" i="33" a="1"/>
  <c r="C1" i="33" s="1"/>
  <c r="J15" i="11"/>
  <c r="J16" i="17" a="1"/>
  <c r="J16" i="17" s="1"/>
  <c r="J12" i="17"/>
  <c r="F33" i="33"/>
  <c r="E114" i="33"/>
  <c r="D70" i="33"/>
  <c r="A22" i="33"/>
  <c r="I54" i="33"/>
  <c r="F92" i="33"/>
  <c r="A21" i="33"/>
  <c r="G115" i="33"/>
  <c r="A23" i="33"/>
  <c r="I116" i="33"/>
  <c r="A27" i="33"/>
  <c r="D66" i="33"/>
  <c r="D84" i="33" l="1"/>
  <c r="B29" i="34" a="1"/>
  <c r="B29" i="34" l="1"/>
  <c r="F29" i="34" a="1"/>
  <c r="F29" i="34" s="1"/>
  <c r="J29" i="34" a="1"/>
  <c r="J29" i="34" s="1"/>
  <c r="K6" i="1" a="1"/>
  <c r="F18" i="2"/>
  <c r="M10" i="28" a="1"/>
  <c r="M10" i="28" s="1"/>
  <c r="D3" i="28" a="1"/>
  <c r="D3" i="28" s="1"/>
  <c r="K27" i="1" a="1"/>
  <c r="K27" i="1" s="1"/>
  <c r="I82" i="34" a="1"/>
  <c r="I82" i="34" s="1"/>
  <c r="I81" i="34" a="1"/>
  <c r="I81" i="34" s="1"/>
  <c r="F82" i="34" a="1"/>
  <c r="F82" i="34" s="1"/>
  <c r="F81" i="34" a="1"/>
  <c r="F81" i="34" s="1"/>
  <c r="F75" i="34" a="1"/>
  <c r="F75" i="34" s="1"/>
  <c r="F74" i="34" a="1"/>
  <c r="F74" i="34" s="1"/>
  <c r="F69" i="34" a="1"/>
  <c r="F69" i="34" s="1"/>
  <c r="F68" i="34" a="1"/>
  <c r="F68" i="34" s="1"/>
  <c r="J27" i="34" a="1"/>
  <c r="J27" i="34" s="1"/>
  <c r="J26" i="34" a="1"/>
  <c r="J26" i="34" s="1"/>
  <c r="F27" i="34" a="1"/>
  <c r="F27" i="34" s="1"/>
  <c r="F26" i="34" a="1"/>
  <c r="F26" i="34" s="1"/>
  <c r="B26" i="34" a="1"/>
  <c r="B26" i="34" s="1"/>
  <c r="B27" i="34" a="1"/>
  <c r="B27" i="34" s="1"/>
  <c r="D21" i="34" a="1"/>
  <c r="D21" i="34" s="1"/>
  <c r="B21" i="34" a="1"/>
  <c r="B21" i="34" s="1"/>
  <c r="P1" i="28" a="1"/>
  <c r="P1" i="28" s="1"/>
  <c r="G1" i="28" a="1"/>
  <c r="G1" i="28" s="1"/>
  <c r="C1" i="28" a="1"/>
  <c r="C1" i="28" s="1"/>
  <c r="L1" i="28" a="1"/>
  <c r="L1" i="28" s="1"/>
  <c r="N2" i="11" a="1"/>
  <c r="N2" i="11" s="1"/>
  <c r="L2" i="11" a="1"/>
  <c r="L2" i="11" s="1"/>
  <c r="E1" i="11" a="1"/>
  <c r="E1" i="11" s="1"/>
  <c r="C1" i="11" a="1"/>
  <c r="C1" i="11" s="1"/>
  <c r="I1" i="17" a="1"/>
  <c r="I1" i="17" s="1"/>
  <c r="C1" i="17" a="1"/>
  <c r="C1" i="17" s="1"/>
  <c r="G25" i="23" a="1"/>
  <c r="G25" i="23" s="1"/>
  <c r="F25" i="23" a="1"/>
  <c r="F25" i="23" s="1"/>
  <c r="G20" i="23" a="1"/>
  <c r="G20" i="23" s="1"/>
  <c r="F20" i="23" a="1"/>
  <c r="F20" i="23" s="1"/>
  <c r="G16" i="23" a="1"/>
  <c r="G16" i="23" s="1"/>
  <c r="F16" i="23" a="1"/>
  <c r="F16" i="23" s="1"/>
  <c r="G4" i="23" a="1"/>
  <c r="G4" i="23" s="1"/>
  <c r="F4" i="23" a="1"/>
  <c r="F4" i="23" s="1"/>
  <c r="G9" i="23" a="1"/>
  <c r="G9" i="23" s="1"/>
  <c r="F9" i="23" a="1"/>
  <c r="F9" i="23" s="1"/>
  <c r="J2" i="13" a="1"/>
  <c r="J2" i="13" s="1"/>
  <c r="J1" i="13" a="1"/>
  <c r="J1" i="13" s="1"/>
  <c r="E2" i="13" a="1"/>
  <c r="E2" i="13" s="1"/>
  <c r="E1" i="13" a="1"/>
  <c r="E1" i="13" s="1"/>
  <c r="C56" i="1" a="1"/>
  <c r="C56" i="1" s="1"/>
  <c r="G1" i="1" a="1"/>
  <c r="G1" i="1" s="1"/>
  <c r="C1" i="1" a="1"/>
  <c r="C1" i="1" s="1"/>
  <c r="J28" i="13" a="1"/>
  <c r="J28" i="13" s="1"/>
  <c r="L28" i="13" s="1" a="1"/>
  <c r="L28" i="13" s="1"/>
  <c r="G1" i="2" a="1"/>
  <c r="G1" i="2" s="1"/>
  <c r="C1" i="2" a="1"/>
  <c r="C1" i="2" s="1"/>
  <c r="J29" i="11" a="1"/>
  <c r="J29" i="11" s="1"/>
  <c r="M20" i="28" a="1"/>
  <c r="M20" i="28" s="1"/>
  <c r="B86" i="1" a="1"/>
  <c r="B86" i="1" s="1"/>
  <c r="B88" i="1" a="1"/>
  <c r="B88" i="1" s="1"/>
  <c r="F56" i="1" a="1"/>
  <c r="F56" i="1" s="1"/>
  <c r="J70" i="1" a="1"/>
  <c r="J70" i="1" s="1"/>
  <c r="J69" i="1" a="1"/>
  <c r="J69" i="1" s="1"/>
  <c r="J57" i="1" a="1"/>
  <c r="J57" i="1" s="1"/>
  <c r="J72" i="1" a="1"/>
  <c r="J72" i="1" s="1"/>
  <c r="L74" i="1" s="1" a="1"/>
  <c r="L74" i="1" s="1"/>
  <c r="J59" i="1" a="1"/>
  <c r="J59" i="1" s="1"/>
  <c r="J9" i="2" a="1"/>
  <c r="J9" i="2" s="1"/>
  <c r="J8" i="2" a="1"/>
  <c r="J8" i="2" s="1"/>
  <c r="J6" i="11"/>
  <c r="B22" i="34"/>
  <c r="J71" i="1"/>
  <c r="F28" i="34"/>
  <c r="J27" i="13"/>
  <c r="L73" i="1"/>
  <c r="L27" i="13"/>
  <c r="J58" i="1"/>
  <c r="J33" i="11"/>
  <c r="B87" i="1"/>
  <c r="L32" i="11"/>
  <c r="B28" i="34"/>
  <c r="K6" i="1" l="1"/>
  <c r="I35" i="1" a="1"/>
  <c r="I35" i="1" s="1"/>
  <c r="J19" i="17" a="1"/>
  <c r="J19" i="17" s="1"/>
  <c r="J18" i="17" a="1"/>
  <c r="J18" i="17" s="1"/>
  <c r="J15" i="17" a="1"/>
  <c r="J15" i="17" s="1"/>
  <c r="J11" i="17" a="1"/>
  <c r="J11" i="17" s="1"/>
  <c r="J3" i="17" a="1"/>
  <c r="J3" i="17" s="1"/>
  <c r="F30" i="23" a="1"/>
  <c r="F30" i="23" s="1"/>
  <c r="F17" i="23" a="1"/>
  <c r="F17" i="23" s="1"/>
  <c r="F13" i="23" a="1"/>
  <c r="F13" i="23" s="1"/>
  <c r="F10" i="23" a="1"/>
  <c r="F10" i="23" s="1"/>
  <c r="F5" i="23" a="1"/>
  <c r="F5" i="23" s="1"/>
  <c r="F2" i="23" a="1"/>
  <c r="F2" i="23" s="1"/>
  <c r="F3" i="23" a="1"/>
  <c r="F3" i="23" s="1"/>
  <c r="F26" i="13" a="1"/>
  <c r="F26" i="13" s="1"/>
  <c r="J3" i="13" a="1"/>
  <c r="J3" i="13" s="1"/>
  <c r="F3" i="13" a="1"/>
  <c r="F3" i="13" s="1"/>
  <c r="T7" i="1" a="1"/>
  <c r="T7" i="1" s="1"/>
  <c r="T3" i="1" a="1"/>
  <c r="T3" i="1" s="1"/>
  <c r="N33" i="1" a="1"/>
  <c r="N33" i="1" s="1"/>
  <c r="H33" i="1" a="1"/>
  <c r="H33" i="1" s="1"/>
  <c r="B33" i="1" a="1"/>
  <c r="B33" i="1" s="1"/>
  <c r="J25" i="1" a="1"/>
  <c r="J25" i="1" s="1"/>
  <c r="J4" i="1" a="1"/>
  <c r="J4" i="1" s="1"/>
  <c r="D3" i="13" a="1"/>
  <c r="D3" i="13" s="1"/>
  <c r="C3" i="13" a="1"/>
  <c r="C3" i="13" s="1"/>
  <c r="B3" i="13" a="1"/>
  <c r="B3" i="13" s="1"/>
  <c r="I5" i="2" a="1"/>
  <c r="I5" i="2" s="1"/>
  <c r="I11" i="2" a="1"/>
  <c r="I11" i="2" s="1"/>
  <c r="I9" i="2" a="1"/>
  <c r="I9" i="2" s="1"/>
  <c r="I8" i="2" a="1"/>
  <c r="I8" i="2" s="1"/>
  <c r="I7" i="2" a="1"/>
  <c r="I7" i="2" s="1"/>
  <c r="D4" i="2" a="1"/>
  <c r="D4" i="2" s="1"/>
  <c r="E4" i="2" a="1"/>
  <c r="E4" i="2" s="1"/>
  <c r="C4" i="2" a="1"/>
  <c r="C4" i="2" s="1"/>
  <c r="B4" i="2" a="1"/>
  <c r="B4" i="2" s="1"/>
  <c r="O35" i="1" a="1"/>
  <c r="O35" i="1" s="1"/>
  <c r="C35" i="1" a="1"/>
  <c r="C35" i="1" s="1"/>
  <c r="F27" i="13"/>
  <c r="J50" i="11" l="1" a="1"/>
  <c r="J50" i="11" s="1"/>
  <c r="K41" i="11" a="1"/>
  <c r="K41" i="11" s="1"/>
  <c r="J43" i="11" a="1"/>
  <c r="J43" i="11" s="1"/>
  <c r="M35" i="11" a="1"/>
  <c r="M35" i="11" s="1"/>
  <c r="J35" i="11" a="1"/>
  <c r="J35" i="11" s="1"/>
  <c r="M23" i="11" a="1"/>
  <c r="M23" i="11" s="1"/>
  <c r="J23" i="11" a="1"/>
  <c r="J23" i="11" s="1"/>
  <c r="J17" i="11" a="1"/>
  <c r="J17" i="11" s="1"/>
  <c r="J13" i="11" a="1"/>
  <c r="J13" i="11" s="1"/>
  <c r="M8" i="11" a="1"/>
  <c r="M8" i="11" s="1"/>
  <c r="J8" i="11" a="1"/>
  <c r="J8" i="11" s="1"/>
  <c r="J4" i="11" a="1"/>
  <c r="J4" i="11" s="1"/>
  <c r="L44" i="11" a="1"/>
  <c r="L44" i="11" s="1"/>
  <c r="K9" i="11" a="1"/>
  <c r="K9" i="11" s="1"/>
  <c r="J20" i="11"/>
  <c r="L47" i="11"/>
  <c r="C2" i="28" l="1" a="1"/>
  <c r="C2" i="28" s="1"/>
  <c r="D2" i="28" a="1"/>
  <c r="D2" i="28" s="1"/>
  <c r="E2" i="28" a="1"/>
  <c r="E2" i="28" s="1"/>
  <c r="F2" i="28" a="1"/>
  <c r="F2" i="28" s="1"/>
  <c r="G2" i="28" a="1"/>
  <c r="G2" i="28" s="1"/>
  <c r="H2" i="28" a="1"/>
  <c r="H2" i="28" s="1"/>
  <c r="I2" i="28" a="1"/>
  <c r="I2" i="28" s="1"/>
  <c r="J2" i="28" a="1"/>
  <c r="J2" i="28" s="1"/>
  <c r="B2" i="28" a="1"/>
  <c r="B2" i="28" s="1"/>
  <c r="C1" i="34" a="1"/>
  <c r="C1" i="34" s="1"/>
  <c r="C1" i="23" a="1"/>
  <c r="C1" i="23" s="1"/>
  <c r="F14" i="38" a="1"/>
  <c r="F14" i="38" s="1"/>
  <c r="B5" i="22" s="1"/>
  <c r="F15" i="38" a="1"/>
  <c r="F15" i="38" s="1"/>
  <c r="F16" i="38" a="1"/>
  <c r="F16" i="38" s="1"/>
  <c r="F17" i="38" a="1"/>
  <c r="F17" i="38" s="1"/>
  <c r="F18" i="38" a="1"/>
  <c r="F18" i="38" s="1"/>
  <c r="F19" i="38" a="1"/>
  <c r="F19" i="38" s="1"/>
  <c r="F20" i="38" a="1"/>
  <c r="F20" i="38" s="1"/>
  <c r="B7" i="22" s="1"/>
  <c r="F21" i="38" a="1"/>
  <c r="F21" i="38" s="1"/>
  <c r="F22" i="38" a="1"/>
  <c r="F22" i="38" s="1"/>
  <c r="F23" i="38" a="1"/>
  <c r="F23" i="38" s="1"/>
  <c r="B8" i="22" s="1"/>
  <c r="F24" i="38" a="1"/>
  <c r="F24" i="38" s="1"/>
  <c r="B9" i="22" s="1"/>
  <c r="F25" i="38" a="1"/>
  <c r="F25" i="38" s="1"/>
  <c r="B10" i="22" s="1"/>
  <c r="F26" i="38" a="1"/>
  <c r="F26" i="38" s="1"/>
  <c r="B11" i="22" s="1"/>
  <c r="F27" i="38" a="1"/>
  <c r="F27" i="38" s="1"/>
  <c r="F28" i="38" a="1"/>
  <c r="F28" i="38" s="1"/>
  <c r="B12" i="22" s="1"/>
  <c r="F29" i="38" a="1"/>
  <c r="F29" i="38" s="1"/>
  <c r="B14" i="22" s="1"/>
  <c r="F30" i="38" a="1"/>
  <c r="F30" i="38" s="1"/>
  <c r="F31" i="38" a="1"/>
  <c r="F31" i="38" s="1"/>
  <c r="B13" i="22" s="1"/>
  <c r="F32" i="38" a="1"/>
  <c r="F32" i="38" s="1"/>
  <c r="F33" i="38" a="1"/>
  <c r="F33" i="38" s="1"/>
  <c r="F34" i="38" a="1"/>
  <c r="F34" i="38" s="1"/>
  <c r="F35" i="38" a="1"/>
  <c r="F35" i="38" s="1"/>
  <c r="F13" i="38" a="1"/>
  <c r="F13" i="38" s="1"/>
  <c r="B6" i="22" s="1"/>
  <c r="K20" i="11"/>
  <c r="F26" i="23" a="1"/>
  <c r="F26" i="23" s="1"/>
  <c r="F14" i="23"/>
  <c r="F6" i="23" a="1"/>
  <c r="F6" i="23" s="1"/>
  <c r="F11" i="23"/>
  <c r="M14" i="2" a="1"/>
  <c r="M14" i="2" s="1"/>
  <c r="L14" i="2" a="1"/>
  <c r="L14" i="2" s="1"/>
  <c r="K14" i="2" a="1"/>
  <c r="K14" i="2" s="1"/>
  <c r="J14" i="2" a="1"/>
  <c r="J14" i="2" s="1"/>
  <c r="J28" i="34"/>
  <c r="M5" i="2"/>
  <c r="L13" i="2"/>
  <c r="D45" i="33"/>
  <c r="M13" i="2"/>
  <c r="K13" i="2"/>
  <c r="F83" i="34"/>
  <c r="M7" i="2"/>
  <c r="J13" i="2"/>
  <c r="I83" i="34"/>
  <c r="B13" i="33"/>
  <c r="F31" i="23" l="1" a="1"/>
  <c r="F31" i="23" s="1"/>
  <c r="F18" i="23"/>
  <c r="F71" i="34" a="1"/>
  <c r="F71" i="34" s="1"/>
  <c r="I84" i="34" s="1" a="1"/>
  <c r="I84" i="34" s="1"/>
  <c r="F76" i="34"/>
  <c r="N28" i="34"/>
  <c r="P31" i="34"/>
  <c r="C3" i="33"/>
  <c r="F58" i="34"/>
  <c r="F3" i="33"/>
  <c r="F70" i="34"/>
  <c r="F53" i="34"/>
  <c r="B3" i="33"/>
  <c r="F40" i="34"/>
  <c r="P32" i="34" l="1" a="1"/>
  <c r="P32" i="34" s="1"/>
  <c r="N29" i="34" a="1"/>
  <c r="N29" i="34" s="1"/>
  <c r="B4" i="33" a="1"/>
  <c r="C4" i="33" a="1"/>
  <c r="C4" i="33" s="1"/>
  <c r="B11" i="33"/>
  <c r="B12" i="33" l="1" a="1"/>
  <c r="B12" i="33" s="1"/>
  <c r="B4" i="33"/>
  <c r="B14" i="33" s="1" a="1"/>
  <c r="B14" i="33" s="1"/>
  <c r="F54" i="34" a="1"/>
  <c r="F54" i="34" s="1"/>
  <c r="F59" i="34" s="1" a="1"/>
  <c r="F59" i="34" s="1"/>
  <c r="F41" i="34" a="1"/>
  <c r="B16" i="33"/>
  <c r="B33" i="33"/>
  <c r="F41" i="34" l="1"/>
  <c r="B34" i="33" a="1"/>
  <c r="B49" i="33" a="1"/>
  <c r="B49" i="33" s="1"/>
  <c r="C49" i="33" a="1"/>
  <c r="C49" i="33" s="1"/>
  <c r="C74" i="33" a="1"/>
  <c r="C74" i="33" s="1"/>
  <c r="H84" i="33" a="1"/>
  <c r="H84" i="33" s="1"/>
  <c r="B93" i="33" a="1"/>
  <c r="B93" i="33" s="1"/>
  <c r="C98" i="33" a="1"/>
  <c r="C41" i="33"/>
  <c r="B48" i="33"/>
  <c r="C48" i="33"/>
  <c r="D83" i="33"/>
  <c r="B92" i="33"/>
  <c r="J64" i="33"/>
  <c r="A73" i="33"/>
  <c r="H83" i="33"/>
  <c r="D44" i="33"/>
  <c r="G64" i="33"/>
  <c r="C73" i="33"/>
  <c r="D92" i="33"/>
  <c r="B83" i="33"/>
  <c r="B80" i="33"/>
  <c r="B18" i="33"/>
  <c r="B25" i="33"/>
  <c r="C98" i="33" l="1"/>
  <c r="C99" i="33" a="1"/>
  <c r="C99" i="33" s="1"/>
  <c r="C75" i="33" a="1"/>
  <c r="C75" i="33" s="1"/>
  <c r="B34" i="33"/>
  <c r="F34" i="33"/>
  <c r="B27" i="33" a="1"/>
  <c r="B27" i="33" s="1"/>
  <c r="B23" i="33" l="1" a="1"/>
  <c r="B23" i="33" s="1"/>
  <c r="B21" i="33" a="1"/>
  <c r="B21" i="33" s="1"/>
  <c r="B26" i="33" a="1"/>
  <c r="B26" i="33" s="1"/>
  <c r="B19" i="33" a="1"/>
  <c r="B19" i="33" s="1"/>
  <c r="C44" i="33" a="1"/>
  <c r="C44" i="33" s="1"/>
  <c r="J3" i="28" l="1" a="1"/>
  <c r="J3" i="28" s="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D44" i="28"/>
  <c r="M27" i="11"/>
  <c r="J44" i="28"/>
  <c r="N20" i="28" l="1"/>
  <c r="N26" i="28" l="1"/>
  <c r="N22" i="28"/>
  <c r="N23" i="28"/>
  <c r="N24" i="28"/>
  <c r="N25" i="28"/>
  <c r="N21" i="28"/>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M16" i="28"/>
  <c r="L12" i="17"/>
  <c r="N16" i="17"/>
  <c r="M27" i="28"/>
  <c r="H44" i="11" l="1"/>
  <c r="H32" i="11"/>
  <c r="H29" i="11"/>
  <c r="H34" i="11"/>
  <c r="J32" i="11" s="1" a="1"/>
  <c r="J32" i="11" s="1"/>
  <c r="H49" i="11"/>
  <c r="H48" i="11"/>
  <c r="H36" i="11"/>
  <c r="H24" i="11"/>
  <c r="H47" i="11"/>
  <c r="H35" i="11"/>
  <c r="H50" i="11"/>
  <c r="H26" i="11"/>
  <c r="H46" i="11"/>
  <c r="H45" i="11"/>
  <c r="H39" i="11"/>
  <c r="H27" i="11"/>
  <c r="H37" i="11"/>
  <c r="H25" i="11"/>
  <c r="H38" i="11"/>
  <c r="H33" i="11"/>
  <c r="H43" i="11"/>
  <c r="H31" i="11"/>
  <c r="H28" i="11"/>
  <c r="H42" i="11"/>
  <c r="H41" i="11"/>
  <c r="H30" i="11"/>
  <c r="H40" i="11"/>
  <c r="K32" i="11" l="1" a="1"/>
  <c r="K32" i="11" s="1"/>
  <c r="F21" i="23" l="1" a="1"/>
  <c r="F21" i="23" s="1"/>
  <c r="F10" i="2" l="1"/>
  <c r="F9" i="2"/>
  <c r="H21" i="23"/>
  <c r="K20" i="17"/>
  <c r="N34" i="1"/>
  <c r="G18" i="2"/>
  <c r="B34" i="1"/>
  <c r="H6" i="23"/>
  <c r="H18" i="23"/>
  <c r="H14" i="23"/>
  <c r="K40" i="11"/>
  <c r="G17" i="2"/>
  <c r="F4" i="13"/>
  <c r="H34" i="1"/>
  <c r="H11" i="23"/>
  <c r="H26" i="23"/>
  <c r="F23" i="11" l="1"/>
  <c r="H23" i="11" s="1"/>
  <c r="I25" i="13"/>
  <c r="F5" i="13" a="1"/>
  <c r="F5" i="13" s="1"/>
  <c r="F6" i="11"/>
  <c r="H6" i="11" s="1"/>
  <c r="F22" i="11"/>
  <c r="H22" i="11" s="1"/>
  <c r="F21" i="11"/>
  <c r="H21" i="11" s="1"/>
  <c r="F20" i="11"/>
  <c r="H20" i="11" s="1"/>
  <c r="F19" i="11"/>
  <c r="H19" i="11" s="1"/>
  <c r="F18" i="11"/>
  <c r="H18" i="11" s="1"/>
  <c r="F17" i="11"/>
  <c r="F16" i="11"/>
  <c r="H16" i="11" s="1"/>
  <c r="F15" i="11"/>
  <c r="H15" i="11" s="1"/>
  <c r="F14" i="11"/>
  <c r="J26" i="11" s="1" a="1"/>
  <c r="J26" i="11" s="1"/>
  <c r="F13" i="11"/>
  <c r="H13" i="11" s="1"/>
  <c r="F12" i="11"/>
  <c r="H12" i="11" s="1"/>
  <c r="F11" i="11"/>
  <c r="H11" i="11" s="1"/>
  <c r="F10" i="11"/>
  <c r="H10" i="11" s="1"/>
  <c r="F9" i="11"/>
  <c r="H9" i="11" s="1"/>
  <c r="F8" i="11"/>
  <c r="F7" i="11"/>
  <c r="H7" i="11" s="1"/>
  <c r="L5" i="17"/>
  <c r="F3" i="11"/>
  <c r="D2" i="11"/>
  <c r="J27" i="11"/>
  <c r="J4" i="13"/>
  <c r="H8" i="11" l="1"/>
  <c r="M26" i="11" a="1"/>
  <c r="M26" i="11" s="1"/>
  <c r="J5" i="13" a="1"/>
  <c r="J5" i="13" s="1"/>
  <c r="O5" i="13" a="1"/>
  <c r="O5" i="13" s="1"/>
  <c r="H17" i="11"/>
  <c r="M38" i="11" s="1"/>
  <c r="N38" i="11"/>
  <c r="H14" i="11"/>
  <c r="J5" i="1"/>
  <c r="J26" i="1"/>
  <c r="M10" i="11" l="1" a="1"/>
  <c r="M10" i="11" s="1"/>
  <c r="J36" i="11" a="1"/>
  <c r="J36" i="11" l="1"/>
  <c r="K36" i="11" s="1" a="1"/>
  <c r="K36" i="11" s="1"/>
  <c r="J51" i="11" a="1"/>
  <c r="J51" i="11" s="1"/>
  <c r="F6" i="2"/>
  <c r="F7" i="2"/>
  <c r="F8" i="2"/>
  <c r="F11" i="2"/>
  <c r="F12" i="2"/>
  <c r="F13" i="2"/>
  <c r="F14" i="2"/>
  <c r="F15" i="2"/>
  <c r="F16" i="2"/>
  <c r="F5" i="2"/>
  <c r="F1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Ludovic Moreau</author>
  </authors>
  <commentList>
    <comment ref="F5" authorId="0" shapeId="0" xr:uid="{F384DC45-88FE-423A-8302-1D1C4EA54A64}">
      <text>
        <r>
          <rPr>
            <b/>
            <sz val="9"/>
            <color indexed="81"/>
            <rFont val="Tahoma"/>
            <family val="2"/>
          </rPr>
          <t>Ludovic Moreau:</t>
        </r>
        <r>
          <rPr>
            <sz val="9"/>
            <color indexed="81"/>
            <rFont val="Tahoma"/>
            <family val="2"/>
          </rPr>
          <t xml:space="preserve">
=Prix*qté</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147ED7-1B2F-4BE7-B3A2-5D3EFF4D9E4B}" keepAlive="1" name="Requête - 2020 Summer Olympics medal table[218] (2)" description="Connexion à la requête « 2020 Summer Olympics medal table[218] (2) » dans le classeur." type="5" refreshedVersion="8" background="1" saveData="1">
    <dbPr connection="Provider=Microsoft.Mashup.OleDb.1;Data Source=$Workbook$;Location=&quot;2020 Summer Olympics medal table[218] (2)&quot;;Extended Properties=&quot;&quot;" command="SELECT * FROM [2020 Summer Olympics medal table[218]]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<sst xmlns="http://schemas.openxmlformats.org/spreadsheetml/2006/main" count="2174" uniqueCount="1086">
  <si>
    <t>Index</t>
  </si>
  <si>
    <t>ENG</t>
  </si>
  <si>
    <t>FR</t>
  </si>
  <si>
    <t>DESCENG</t>
  </si>
  <si>
    <t>DESCFR</t>
  </si>
  <si>
    <t>FILTER</t>
  </si>
  <si>
    <t>FILTRE</t>
  </si>
  <si>
    <t>Returns an array of values that meet specified conditions.</t>
  </si>
  <si>
    <t>Renvoie un tableau de valeurs répondant à des critères spécifiés.</t>
  </si>
  <si>
    <t>SORT</t>
  </si>
  <si>
    <t>TRIER</t>
  </si>
  <si>
    <t>Sorts the contents of an array or range.</t>
  </si>
  <si>
    <t>Trie le contenu d'un tableau ou d'une plage de cellules.</t>
  </si>
  <si>
    <t>SORTBY</t>
  </si>
  <si>
    <t>TRIERPAR</t>
  </si>
  <si>
    <t>Sorts an array based on the values in a corresponding array.</t>
  </si>
  <si>
    <t>Trie un tableau en fonction des valeurs d'un tableau correspondant.</t>
  </si>
  <si>
    <t>UNIQUE</t>
  </si>
  <si>
    <t>Returns unique values from a range or array.</t>
  </si>
  <si>
    <t>Renvoie des valeurs uniques à partir d'une plage ou d'un tableau.</t>
  </si>
  <si>
    <t>SEQUENCE</t>
  </si>
  <si>
    <t>Generates a sequence of numbers in an array.</t>
  </si>
  <si>
    <t>Génère une séquence de nombres sous forme de tableau.</t>
  </si>
  <si>
    <t>RANDARRAY</t>
  </si>
  <si>
    <t>TABLEAU.ALEA</t>
  </si>
  <si>
    <t>Returns an array of random numbers.</t>
  </si>
  <si>
    <t>Renvoie un tableau de nombres aléatoires.</t>
  </si>
  <si>
    <t>ARRAYTOTEXT</t>
  </si>
  <si>
    <t>TABLEAU.EN.TEXTE</t>
  </si>
  <si>
    <t>Converts an array to a text string (two formats available).</t>
  </si>
  <si>
    <t>Convertit un tableau en une chaîne de texte (deux formats possibles).</t>
  </si>
  <si>
    <t>EXPAND</t>
  </si>
  <si>
    <t>ETENDRE</t>
  </si>
  <si>
    <t>Expands an array to a specified size by adding blank cells or values.</t>
  </si>
  <si>
    <t>Étend un tableau à une taille spécifiée en ajoutant des cellules vides ou des valeurs.</t>
  </si>
  <si>
    <t>TOCOL</t>
  </si>
  <si>
    <t>DANSCOL</t>
  </si>
  <si>
    <t>Transforms a range or array into a single column.</t>
  </si>
  <si>
    <t>Transforme une plage ou un tableau en une seule colonne.</t>
  </si>
  <si>
    <t>TOROW</t>
  </si>
  <si>
    <t>DANSLIGNE</t>
  </si>
  <si>
    <t>Transforms a range or array into a single row.</t>
  </si>
  <si>
    <t>Transforme une plage ou un tableau en une seule ligne.</t>
  </si>
  <si>
    <t>WRAPCOLS</t>
  </si>
  <si>
    <t>ORGA.COLS</t>
  </si>
  <si>
    <t>Arranges values from a single column into multiple columns.</t>
  </si>
  <si>
    <t>Réorganise des valeurs d'une colonne unique en plusieurs colonnes.</t>
  </si>
  <si>
    <t>WRAPROWS</t>
  </si>
  <si>
    <t>ORGA.LIGNES</t>
  </si>
  <si>
    <t>Arranges values from a single row into multiple rows.</t>
  </si>
  <si>
    <t>Réorganise des valeurs d'une ligne unique en plusieurs lignes.</t>
  </si>
  <si>
    <t>CHOOSECOLS</t>
  </si>
  <si>
    <t>CHOISIRCOLS</t>
  </si>
  <si>
    <t>Selects specific columns from an array.</t>
  </si>
  <si>
    <t>Sélectionne des colonnes spécifiques à partir d'un tableau.</t>
  </si>
  <si>
    <t>CHOOSEROWS</t>
  </si>
  <si>
    <t>CHOISIRLIGNES</t>
  </si>
  <si>
    <t>Selects specific rows from an array.</t>
  </si>
  <si>
    <t>Sélectionne des lignes spécifiques à partir d'un tableau.</t>
  </si>
  <si>
    <t>VSTACK</t>
  </si>
  <si>
    <t>ASSEMB.V</t>
  </si>
  <si>
    <t>Vertically stacks arrays or ranges.</t>
  </si>
  <si>
    <t>Empile verticalement des tableaux ou des plages.</t>
  </si>
  <si>
    <t>HSTACK</t>
  </si>
  <si>
    <t>ASSEMB.H</t>
  </si>
  <si>
    <t>Horizontally stacks arrays or ranges.</t>
  </si>
  <si>
    <t>Empile horizontalement des tableaux ou des plages.</t>
  </si>
  <si>
    <t>XLOOKUP</t>
  </si>
  <si>
    <t>RECHERCHEX</t>
  </si>
  <si>
    <t>Advanced replacement for VLOOKUP and HLOOKUP, allowing for flexible lookups.
XLOOKUP(lookup_value, lookup_array, return_array, [if_not_found], [match_mode], [search_mode])</t>
  </si>
  <si>
    <t xml:space="preserve">Remplace RECHERCHEV et RECHERCHEH, permet des recherches plus flexibles.
=RECHERCHEX(valeur_cherchée, tableau_recherche, tableau_renvoyé, [si_non_trouvé], [mode_correspondance], [mode_recherche]) </t>
  </si>
  <si>
    <t>XMATCH</t>
  </si>
  <si>
    <t>EQUIVX</t>
  </si>
  <si>
    <t>Finds the relative position of a value in an array (replacement for MATCH).</t>
  </si>
  <si>
    <t>Renvoie la position relative d'une valeur dans un tableau (remplace EQUIV).</t>
  </si>
  <si>
    <t>LET</t>
  </si>
  <si>
    <t>Assigns names to calculation results to reuse them within a formula.</t>
  </si>
  <si>
    <t>Assigne des noms à des résultats de calcul pour les réutiliser dans une formule.</t>
  </si>
  <si>
    <t>LAMBDA</t>
  </si>
  <si>
    <t>Allows users to define custom, reusable functions.</t>
  </si>
  <si>
    <t>Permet de définir des fonctions personnalisées réutilisables.</t>
  </si>
  <si>
    <t>BYROW</t>
  </si>
  <si>
    <t>Applies a LAMBDA function to each row in an array.</t>
  </si>
  <si>
    <t>Applique une fonction LAMBDA à chaque ligne d'un tableau.</t>
  </si>
  <si>
    <t>BYCOL</t>
  </si>
  <si>
    <t>Applies a LAMBDA function to each column in an array.</t>
  </si>
  <si>
    <t>Applique une fonction LAMBDA à chaque colonne d'un tableau.</t>
  </si>
  <si>
    <t>MAKEARRAY</t>
  </si>
  <si>
    <t>CREERTABLEAU</t>
  </si>
  <si>
    <t>Creates an array based on a LAMBDA function.</t>
  </si>
  <si>
    <t>Crée un tableau en fonction d'une fonction LAMBDA.</t>
  </si>
  <si>
    <t>MAP</t>
  </si>
  <si>
    <t>CARTOGRAPHIE</t>
  </si>
  <si>
    <t>Applies a LAMBDA function to arrays, element by element.</t>
  </si>
  <si>
    <t>Applique une fonction LAMBDA élément par élément sur des tableaux.</t>
  </si>
  <si>
    <t>REDUCE</t>
  </si>
  <si>
    <t>Reduces an array to an accumulated value by applying a LAMBDA function.</t>
  </si>
  <si>
    <t>Réduit un tableau à une valeur cumulée en appliquant une fonction LAMBDA.</t>
  </si>
  <si>
    <t>SCAN</t>
  </si>
  <si>
    <t>Returns intermediate results of an accumulation operation for an array.</t>
  </si>
  <si>
    <t>Renvoie les résultats intermédiaires d'une opération cumulative sur un tableau.</t>
  </si>
  <si>
    <t>TEXTSPLIT</t>
  </si>
  <si>
    <t>FRACTIONNER.TEXTE</t>
  </si>
  <si>
    <t>Splits text strings into arrays using delimiters.</t>
  </si>
  <si>
    <t>Divise des chaînes de texte en tableaux à l'aide de délimiteurs.</t>
  </si>
  <si>
    <t>TAKE</t>
  </si>
  <si>
    <t>PRENDRE</t>
  </si>
  <si>
    <t>Returns a specified number of rows or columns from the start or end of an array.</t>
  </si>
  <si>
    <t>Renvoie un nombre spécifié de lignes ou de colonnes du début ou de la fin d'un tableau.</t>
  </si>
  <si>
    <t>DROP</t>
  </si>
  <si>
    <t>SUPPRIMER</t>
  </si>
  <si>
    <t>Excludes a specified number of rows or columns from an array.</t>
  </si>
  <si>
    <t>Exclut un nombre spécifié de lignes ou de colonnes d'un tableau.</t>
  </si>
  <si>
    <t>IMAGE</t>
  </si>
  <si>
    <t>Inserts an image into a cell from a URL.</t>
  </si>
  <si>
    <t>Insère une image dans une cellule à partir d'une URL.</t>
  </si>
  <si>
    <t>TEXTAFTER</t>
  </si>
  <si>
    <t>TEXTE.APRES</t>
  </si>
  <si>
    <t>Extracts text after a specified substring.</t>
  </si>
  <si>
    <t>Extrait le texte après une sous-chaîne spécifiée.</t>
  </si>
  <si>
    <t>TEXTBEFORE</t>
  </si>
  <si>
    <t>TEXTE.AVANT</t>
  </si>
  <si>
    <t>Extracts text before a specified substring.</t>
  </si>
  <si>
    <t>Extrait le texte avant une sous-chaîne spécifiée.</t>
  </si>
  <si>
    <t>STOCKHISTORY</t>
  </si>
  <si>
    <t>HISTORIQUE.ACTIONS</t>
  </si>
  <si>
    <t>Retrieves historical stock price data.</t>
  </si>
  <si>
    <t>Récupère les données historiques des cours boursiers.</t>
  </si>
  <si>
    <t>ISOMITTED</t>
  </si>
  <si>
    <t>Checks if a value is omitted from a LAMBDA or custom function.</t>
  </si>
  <si>
    <t>Vérifie si une valeur est omise dans une fonction LAMBDA ou personnalisée.</t>
  </si>
  <si>
    <t>IFERROR</t>
  </si>
  <si>
    <t>SIERREUR</t>
  </si>
  <si>
    <t>(Available earlier but updated) Handles errors and returns a specified value.</t>
  </si>
  <si>
    <t>(Disponible précédemment mais mise à jour) Gère les erreurs et renvoie une valeur spécifiée.</t>
  </si>
  <si>
    <t>IFNA</t>
  </si>
  <si>
    <t>SI.NA</t>
  </si>
  <si>
    <t>Handles #N/A errors specifically.</t>
  </si>
  <si>
    <t>Gère spécifiquement les erreurs #N/A.</t>
  </si>
  <si>
    <t>GROUPBY</t>
  </si>
  <si>
    <t>GROUPER.PAR</t>
  </si>
  <si>
    <t>aggregates rows in a dataset by one or more grouping columns</t>
  </si>
  <si>
    <t>permet de regrouper des lignes d’un tableau et d’appliquer une fonction d’agrégation</t>
  </si>
  <si>
    <t>PIVOTBY</t>
  </si>
  <si>
    <t>CROISER.AVEC</t>
  </si>
  <si>
    <t>summarizes data in a dynamic table format by grouping rows and calculating an aggregation</t>
  </si>
  <si>
    <t>crée un tableau croisé dynamique à partir d’un tableau source</t>
  </si>
  <si>
    <t>UPPER</t>
  </si>
  <si>
    <t xml:space="preserve">MAJUSCULE </t>
  </si>
  <si>
    <t>Converts all letters in a text string to uppercase.</t>
  </si>
  <si>
    <t>Convertit toutes les lettres d’une chaîne de texte en majuscules.</t>
  </si>
  <si>
    <t>LOWER</t>
  </si>
  <si>
    <t xml:space="preserve">MINUSCULE </t>
  </si>
  <si>
    <t>Converts all letters in a text string to lowercase.</t>
  </si>
  <si>
    <t>Convertit toutes les lettres d’une chaîne de texte en minuscules.</t>
  </si>
  <si>
    <t>PROPER</t>
  </si>
  <si>
    <t>NOMPROPRE</t>
  </si>
  <si>
    <t>Capitalizes the first letter of each word in a text string.</t>
  </si>
  <si>
    <t>Met en majuscule la première lettre de chaque mot d’une chaîne de texte.</t>
  </si>
  <si>
    <t xml:space="preserve">SUBSTITUTE </t>
  </si>
  <si>
    <t xml:space="preserve">SUBSTITUE </t>
  </si>
  <si>
    <t>Replaces occurrences of old text with new text in a string.</t>
  </si>
  <si>
    <t>Remplace un ancien texte par un nouveau dans une chaîne de texte.</t>
  </si>
  <si>
    <t>REPLACE</t>
  </si>
  <si>
    <t>REMPLACER</t>
  </si>
  <si>
    <t>Replaces part of a text string based on character position.</t>
  </si>
  <si>
    <t>Remplace une partie d’une chaîne de texte selon la position des caractères.</t>
  </si>
  <si>
    <t xml:space="preserve">TEXTJOIN </t>
  </si>
  <si>
    <t xml:space="preserve">JOINDRE.TEXTE </t>
  </si>
  <si>
    <t>Combines text from multiple ranges, with a delimiter.</t>
  </si>
  <si>
    <t>Combine du texte à partir de plusieurs plages en utilisant un séparateur.</t>
  </si>
  <si>
    <t>CONCAT</t>
  </si>
  <si>
    <t>Joins text from multiple ranges or strings without delimiter options.</t>
  </si>
  <si>
    <t>Concatène du texte à partir de plusieurs plages ou chaînes sans séparateur.</t>
  </si>
  <si>
    <t xml:space="preserve">LEFT </t>
  </si>
  <si>
    <t xml:space="preserve">GAUCHE </t>
  </si>
  <si>
    <t>Returns a specified number of characters from the start of a text string.</t>
  </si>
  <si>
    <t>Renvoie un nombre défini de caractères à partir du début d’une chaîne de texte.</t>
  </si>
  <si>
    <t xml:space="preserve">RIGHT </t>
  </si>
  <si>
    <t xml:space="preserve">DROITE </t>
  </si>
  <si>
    <t>Returns a specified number of characters from the end of a text string.</t>
  </si>
  <si>
    <t>Renvoie un nombre défini de caractères à partir de la fin d’une chaîne de texte.</t>
  </si>
  <si>
    <t xml:space="preserve">MID </t>
  </si>
  <si>
    <t xml:space="preserve"> STXT </t>
  </si>
  <si>
    <t>Returns a specific number of characters from a text string, starting at a given position.</t>
  </si>
  <si>
    <t>Renvoie un nombre spécifique de caractères à partir d’une position donnée.</t>
  </si>
  <si>
    <t xml:space="preserve">TEXTBEFORE </t>
  </si>
  <si>
    <t xml:space="preserve">TEXTE.AVANT </t>
  </si>
  <si>
    <t>Returns text that occurs before a specific character or string.</t>
  </si>
  <si>
    <t>Renvoie le texte situé avant un caractère ou une chaîne spécifique.</t>
  </si>
  <si>
    <t>Returns text that occurs after a specific character or string.</t>
  </si>
  <si>
    <t>Renvoie le texte situé après un caractère ou une chaîne spécifique.</t>
  </si>
  <si>
    <t>TRIM</t>
  </si>
  <si>
    <t>SUPPRESPACE</t>
  </si>
  <si>
    <t>Removes all extra spaces from text, leaving single spaces between words.</t>
  </si>
  <si>
    <t>Supprime les espaces inutiles dans le texte, sauf ceux entre les mots.</t>
  </si>
  <si>
    <t>ISERROR</t>
  </si>
  <si>
    <t>ESTERREUR</t>
  </si>
  <si>
    <t>Returns TRUE if the value is any error.</t>
  </si>
  <si>
    <t>Renvoie VRAI si la valeur est une erreur.</t>
  </si>
  <si>
    <t>SI.NON.DISP</t>
  </si>
  <si>
    <t>Returns a value if the formula returns #N/A, otherwise returns the formula result.</t>
  </si>
  <si>
    <t>Renvoie une valeur si la formule renvoie #N/A, sinon le résultat de la formule.</t>
  </si>
  <si>
    <t>ISBLANK</t>
  </si>
  <si>
    <t>ESTVIDE</t>
  </si>
  <si>
    <t>Returns TRUE if the cell is empty.</t>
  </si>
  <si>
    <t>Renvoie VRAI si la cellule est vide.</t>
  </si>
  <si>
    <t>Returns a value if there is an error, otherwise returns the result of the formula.</t>
  </si>
  <si>
    <t>Renvoie une valeur si erreur, sinon le résultat de la formule.</t>
  </si>
  <si>
    <t>RAND</t>
  </si>
  <si>
    <t>ALEA</t>
  </si>
  <si>
    <t>Returns a random number between 0 and 1.</t>
  </si>
  <si>
    <t>Renvoie un nombre aléatoire entre 0 et 1.</t>
  </si>
  <si>
    <t>ROUNDDOWN</t>
  </si>
  <si>
    <t>ARRONDI.INF</t>
  </si>
  <si>
    <t>Rounds a number down, toward zero.</t>
  </si>
  <si>
    <t>Arrondit un nombre à l’inférieur, vers zéro.</t>
  </si>
  <si>
    <t>ROUNDUP</t>
  </si>
  <si>
    <t>ARRONDI.SUP</t>
  </si>
  <si>
    <t>Rounds a number up, away from zero.</t>
  </si>
  <si>
    <t>Arrondit un nombre à la hausse, à partir de zéro.</t>
  </si>
  <si>
    <t>RANDBETWEEN</t>
  </si>
  <si>
    <t>ALEA.ENTRE.BORNES</t>
  </si>
  <si>
    <t>Returns a random number between two values.</t>
  </si>
  <si>
    <t>Renvoie un nombre aléatoire entre deux valeurs.</t>
  </si>
  <si>
    <t>MROUND</t>
  </si>
  <si>
    <t>ARRONDI.MULTIPLE</t>
  </si>
  <si>
    <t>Rounds a number to the nearest multiple of a specified value.</t>
  </si>
  <si>
    <t>Arrondit un nombre au multiple le plus proche de la valeur spécifiée.</t>
  </si>
  <si>
    <t>ROUND</t>
  </si>
  <si>
    <t>ARRONDI</t>
  </si>
  <si>
    <t>Rounds a number to a specified number of digits.</t>
  </si>
  <si>
    <t>Arrondit un nombre au nombre de chiffres spécifié.</t>
  </si>
  <si>
    <t>TODAY</t>
  </si>
  <si>
    <t>AUJOURDHUI</t>
  </si>
  <si>
    <t>Returns the current date.</t>
  </si>
  <si>
    <t>Renvoie la date actuelle.</t>
  </si>
  <si>
    <t>NOW</t>
  </si>
  <si>
    <t>MAINTENANT</t>
  </si>
  <si>
    <t>Returns the current date and time.</t>
  </si>
  <si>
    <t>Renvoie la date et l’heure actuelles.</t>
  </si>
  <si>
    <t>DATE</t>
  </si>
  <si>
    <t>Returns a date from year, month, and day values.</t>
  </si>
  <si>
    <t>Renvoie une date à partir des valeurs d’année, mois et jour.</t>
  </si>
  <si>
    <t>EOMONTH</t>
  </si>
  <si>
    <t>FIN.MOIS</t>
  </si>
  <si>
    <t>Returns the last day of the month, before or after a specified number of months.</t>
  </si>
  <si>
    <t>Renvoie le dernier jour du mois, avant ou après un nombre de mois donné.</t>
  </si>
  <si>
    <t>DATEDIF</t>
  </si>
  <si>
    <t>Calculates the difference between two dates in various units.</t>
  </si>
  <si>
    <t>Calcule la différence entre deux dates selon différentes unités.</t>
  </si>
  <si>
    <t>YEAR</t>
  </si>
  <si>
    <t>ANNEE</t>
  </si>
  <si>
    <t>Returns the year of a date.</t>
  </si>
  <si>
    <t>Renvoie l’année d’une date.</t>
  </si>
  <si>
    <t>MONTH</t>
  </si>
  <si>
    <t>MOIS</t>
  </si>
  <si>
    <t>Returns the month of a date.</t>
  </si>
  <si>
    <t>Renvoie le mois d’une date.</t>
  </si>
  <si>
    <t>DAY</t>
  </si>
  <si>
    <t>JOUR</t>
  </si>
  <si>
    <t>Returns the day of a date.</t>
  </si>
  <si>
    <t>Renvoie le jour d’une date.</t>
  </si>
  <si>
    <t>WEEKDAY</t>
  </si>
  <si>
    <t>JOURSEM</t>
  </si>
  <si>
    <t>Returns the day of the week (1 = Sunday by default).</t>
  </si>
  <si>
    <t>Renvoie le jour de la semaine (1 = dimanche par défaut).</t>
  </si>
  <si>
    <t>WEEKNUM</t>
  </si>
  <si>
    <t>NO.SEMAINE</t>
  </si>
  <si>
    <t>Returns the week number of a date.</t>
  </si>
  <si>
    <t>Renvoie le numéro de la semaine d’une date.</t>
  </si>
  <si>
    <t>TIME</t>
  </si>
  <si>
    <t>TEMPS</t>
  </si>
  <si>
    <t>Returns a time value from hour, minute, and second.</t>
  </si>
  <si>
    <t>Renvoie une valeur d’heure à partir d’heure, minute et seconde.</t>
  </si>
  <si>
    <t>HOUR</t>
  </si>
  <si>
    <t>HEURE</t>
  </si>
  <si>
    <t>Extracts the hour from a time.</t>
  </si>
  <si>
    <t>Extrait l’heure d’une valeur de temps.</t>
  </si>
  <si>
    <t>MINUTE</t>
  </si>
  <si>
    <t>Extracts the minute from a time.</t>
  </si>
  <si>
    <t>Extrait les minutes d’une valeur de temps.</t>
  </si>
  <si>
    <t>SECOND</t>
  </si>
  <si>
    <t>SECONDE</t>
  </si>
  <si>
    <t>Extracts the second from a time.</t>
  </si>
  <si>
    <t>Extrait les secondes d’une valeur de temps.</t>
  </si>
  <si>
    <t>TEXT</t>
  </si>
  <si>
    <t>TEXTE</t>
  </si>
  <si>
    <t>Converts a number or date to text in a specific format using format codes.</t>
  </si>
  <si>
    <t>Convertit un nombre ou une date en texte dans un format spécifique avec des codes de format.</t>
  </si>
  <si>
    <t>YEARFRAC</t>
  </si>
  <si>
    <t>FRACTION.ANNEE</t>
  </si>
  <si>
    <t>Returns the fraction of the year between two dates.</t>
  </si>
  <si>
    <t>Renvoie la fraction d’année entre deux dates.</t>
  </si>
  <si>
    <t>AND</t>
  </si>
  <si>
    <t>ET</t>
  </si>
  <si>
    <t>Returns TRUE if all conditions are TRUE.</t>
  </si>
  <si>
    <t>Renvoie VRAI si toutes les conditions sont vraies.</t>
  </si>
  <si>
    <t>OR</t>
  </si>
  <si>
    <t>OU</t>
  </si>
  <si>
    <t>Returns TRUE if any condition is TRUE.</t>
  </si>
  <si>
    <t>Renvoie VRAI si au moins une condition est vraie.</t>
  </si>
  <si>
    <t>XOR</t>
  </si>
  <si>
    <t>OUX</t>
  </si>
  <si>
    <t>Returns TRUE if an odd number of conditions are TRUE.</t>
  </si>
  <si>
    <t>Renvoie VRAI si un nombre impair de conditions sont vraies.</t>
  </si>
  <si>
    <t>IF</t>
  </si>
  <si>
    <t>SI</t>
  </si>
  <si>
    <t>Returns one value if a condition is TRUE and another if FALSE.</t>
  </si>
  <si>
    <t>Renvoie une valeur si une condition est vraie, une autre si elle est fausse.</t>
  </si>
  <si>
    <t>INDEX</t>
  </si>
  <si>
    <t>Returns the value of a cell at the intersection of a row and column in a range.</t>
  </si>
  <si>
    <t>Renvoie la valeur d’une cellule à l’intersection d’une ligne et d’une colonne.</t>
  </si>
  <si>
    <t>OFFSET</t>
  </si>
  <si>
    <t>DECALER</t>
  </si>
  <si>
    <t>Returns a reference to a range that is offset from a starting cell by rows and columns.</t>
  </si>
  <si>
    <t>Renvoie une référence à une plage décalée par rapport à une cellule de départ.</t>
  </si>
  <si>
    <t>VLOOKUP</t>
  </si>
  <si>
    <t>RECHERCHEV</t>
  </si>
  <si>
    <t>Searches for a value in the first column of a range and returns a value in the same row.
VLOOKUP( VALUE; SEARCH RANGE; RETURN COLUMN NUMBER; 0/1 )</t>
  </si>
  <si>
    <t>Recherche une valeur dans la première colonne d’une plage et renvoie une autre colonne.
RECHERCHEV( valeur_cherchée ; table_matrice ; no_index_col ; [valeur_proche])</t>
  </si>
  <si>
    <t>HLOOKUP</t>
  </si>
  <si>
    <t>RECHERCHEH</t>
  </si>
  <si>
    <t>Searches for a value in the first row of a range and returns a value in the same column.</t>
  </si>
  <si>
    <t>Recherche une valeur dans la première ligne et renvoie une valeur de la colonne.</t>
  </si>
  <si>
    <t>SUMIF</t>
  </si>
  <si>
    <t>SOMME.SI</t>
  </si>
  <si>
    <t>Adds the values in a range that meet a single condition.</t>
  </si>
  <si>
    <t>Ajoute les valeurs d'une plage qui remplissent une condition</t>
  </si>
  <si>
    <t>COUNTIF</t>
  </si>
  <si>
    <t>NB.SI</t>
  </si>
  <si>
    <t>Counts the number of cells that meet a single condition.</t>
  </si>
  <si>
    <t>Compte les valeurs d'une plage qui remplissent une condition</t>
  </si>
  <si>
    <t>SUMIFS</t>
  </si>
  <si>
    <t>SOMME.SI.ENS</t>
  </si>
  <si>
    <t>Adds the values in a range that meet multiple criteria.</t>
  </si>
  <si>
    <t>Ajoute les valeurs d'une plage qui remplissent plusieurs conditions.</t>
  </si>
  <si>
    <t>COUNTIFS</t>
  </si>
  <si>
    <t>NB.SI.ENS</t>
  </si>
  <si>
    <t>Counts the number of rows that meet multiple conditions.</t>
  </si>
  <si>
    <t>Compte les valeurs d'une plage qui remplissent plusieurs conditions.</t>
  </si>
  <si>
    <t>AVERAGEIF</t>
  </si>
  <si>
    <t>MOYENNE.SI</t>
  </si>
  <si>
    <t>Calculates the average of values in a range that meet a single condition.</t>
  </si>
  <si>
    <t>Calcule la moyenne d'une plage selon une condition</t>
  </si>
  <si>
    <t>UNICHAR</t>
  </si>
  <si>
    <t>UNICAR</t>
  </si>
  <si>
    <t>returns the Unicode character referenced by the given numeric value</t>
  </si>
  <si>
    <t>renvoie le caractère Unicode correspondant à la valeur numérique spécifiée.</t>
  </si>
  <si>
    <t>LEN</t>
  </si>
  <si>
    <t>NBCAR</t>
  </si>
  <si>
    <t>returns the number of characters in a string</t>
  </si>
  <si>
    <t>renvoie le nombre de caractères d'une chaîne de texte</t>
  </si>
  <si>
    <t>SUMPRODUCT</t>
  </si>
  <si>
    <t>SOMMEPROD</t>
  </si>
  <si>
    <t>Returns the sum of the products of corresponding ranges or arrays.</t>
  </si>
  <si>
    <t>Renvoie la somme des produits des plages ou tableaux correspondants.</t>
  </si>
  <si>
    <t>FREQUENCY</t>
  </si>
  <si>
    <t>FREQUENCE</t>
  </si>
  <si>
    <t>calculates how often values occur within a range of values, and then returns a vertical array of numbers.</t>
  </si>
  <si>
    <t>calcule la fréquence d’apparition des valeurs dans une plage de valeurs, puis renvoie des nombres sous forme de matrice verticale</t>
  </si>
  <si>
    <t>RANK.EQ</t>
  </si>
  <si>
    <t>EQUATION.RANG</t>
  </si>
  <si>
    <t>Returns the rank of a number in a list of numbers</t>
  </si>
  <si>
    <t>Renvoie le rang d’un nombre dans une liste de nombres. </t>
  </si>
  <si>
    <t>EXCLURE</t>
  </si>
  <si>
    <t>Excludes a specified number of rows or columns from the start or end of an array. </t>
  </si>
  <si>
    <t>Exclut un nombre spécifié de lignes ou de colonnes du début ou de la fin d’un tableau.</t>
  </si>
  <si>
    <t>PIVOTER.PAR</t>
  </si>
  <si>
    <t>create a summary of your data via a formula
PIVOTBY(row_fields,col_fields,values,function,[field_headers],[row_total_depth],[row_sort_order],[col_total_depth],[col_sort_order],[filter_array],[relative_to])</t>
  </si>
  <si>
    <r>
      <t xml:space="preserve">crée un résumé de vos données via une formule.
</t>
    </r>
    <r>
      <rPr>
        <sz val="12"/>
        <color theme="1"/>
        <rFont val="Calibri"/>
        <family val="2"/>
        <scheme val="minor"/>
      </rPr>
      <t>PIVOTER.PAR(row_fields,col_fields,values,function,[field_headers],[row_total_depth],[row_sort_order],[col_total_depth],[col_sort_order],[filter_array],[relative_to])</t>
    </r>
  </si>
  <si>
    <t>sumproduct</t>
  </si>
  <si>
    <t>The first condition has to be converted from boolean to number thus the *1</t>
  </si>
  <si>
    <t>ENGLISH</t>
  </si>
  <si>
    <r>
      <t>La condition doit être convertie de booléen en nombre d'o</t>
    </r>
    <r>
      <rPr>
        <sz val="11"/>
        <color theme="1"/>
        <rFont val="Aptos Narrow"/>
        <family val="2"/>
      </rPr>
      <t>ù</t>
    </r>
    <r>
      <rPr>
        <sz val="11"/>
        <color theme="1"/>
        <rFont val="Calibri"/>
        <family val="2"/>
        <scheme val="minor"/>
      </rPr>
      <t xml:space="preserve"> le *1</t>
    </r>
  </si>
  <si>
    <t>FRANCAIS</t>
  </si>
  <si>
    <t>Groupe</t>
  </si>
  <si>
    <t>MENU ENG</t>
  </si>
  <si>
    <t>MENU FR</t>
  </si>
  <si>
    <t>Feuille lien</t>
  </si>
  <si>
    <t>Cellule lien</t>
  </si>
  <si>
    <t>Titre page</t>
  </si>
  <si>
    <t>lst_moiscourt</t>
  </si>
  <si>
    <t>lst_moislong</t>
  </si>
  <si>
    <t>lst_monthShort</t>
  </si>
  <si>
    <t>lst_monthlong</t>
  </si>
  <si>
    <t>A1</t>
  </si>
  <si>
    <t>List of Excel 365-Exclusive Functions</t>
  </si>
  <si>
    <t>Liste des nouvelles fonctions 365</t>
  </si>
  <si>
    <t>A1. 365</t>
  </si>
  <si>
    <t>A10</t>
  </si>
  <si>
    <t>janv</t>
  </si>
  <si>
    <t>janvier</t>
  </si>
  <si>
    <t>jan</t>
  </si>
  <si>
    <t>january</t>
  </si>
  <si>
    <t>A2</t>
  </si>
  <si>
    <t>Array functions</t>
  </si>
  <si>
    <t>Fonctions matricielles</t>
  </si>
  <si>
    <t>A2. ARRAY</t>
  </si>
  <si>
    <t>févr</t>
  </si>
  <si>
    <t>février</t>
  </si>
  <si>
    <t>feb</t>
  </si>
  <si>
    <t>february</t>
  </si>
  <si>
    <t>LOGIC | IF-AND-OR-XOR</t>
  </si>
  <si>
    <t>LOGIQUE | SI-ET-OU-OUX</t>
  </si>
  <si>
    <t>10. LOGIC</t>
  </si>
  <si>
    <t>mars</t>
  </si>
  <si>
    <t>mar</t>
  </si>
  <si>
    <t>march</t>
  </si>
  <si>
    <t>DATE AND TIME</t>
  </si>
  <si>
    <t>DATE &amp; HEURE</t>
  </si>
  <si>
    <t>20. DATE - TIME</t>
  </si>
  <si>
    <t>avr</t>
  </si>
  <si>
    <t>avril</t>
  </si>
  <si>
    <t>apr</t>
  </si>
  <si>
    <t>april</t>
  </si>
  <si>
    <t>ROUND | RAND</t>
  </si>
  <si>
    <t>ARRONDI | ALEA</t>
  </si>
  <si>
    <t>25. ROUND - RAND</t>
  </si>
  <si>
    <t>mai</t>
  </si>
  <si>
    <t>may</t>
  </si>
  <si>
    <t>SUMIF | SUMIFS</t>
  </si>
  <si>
    <t>SOMME.SI | SOMME.SI.ENS</t>
  </si>
  <si>
    <t>30. COND. STATS</t>
  </si>
  <si>
    <t>juin</t>
  </si>
  <si>
    <t>jun</t>
  </si>
  <si>
    <t>june</t>
  </si>
  <si>
    <t>COUNTIF(S) | SUMIF(S)</t>
  </si>
  <si>
    <t>NB.SI(.ENS) | SOMME.SI(.ENS)</t>
  </si>
  <si>
    <t>juil</t>
  </si>
  <si>
    <t>juillet</t>
  </si>
  <si>
    <t>jul</t>
  </si>
  <si>
    <t>july</t>
  </si>
  <si>
    <t>SOMMEPRODUIT</t>
  </si>
  <si>
    <t>33. SUMPRODUCT</t>
  </si>
  <si>
    <t>août</t>
  </si>
  <si>
    <t>aug</t>
  </si>
  <si>
    <t>august</t>
  </si>
  <si>
    <t>ERRORS (ISEMPTY - ISNA - ISERROR)</t>
  </si>
  <si>
    <t>ERREURS (ESTVIDE-ESTNA-ESTERREUR)</t>
  </si>
  <si>
    <t>35. ERR</t>
  </si>
  <si>
    <t>sept</t>
  </si>
  <si>
    <t>septembre</t>
  </si>
  <si>
    <t>sep</t>
  </si>
  <si>
    <t>september</t>
  </si>
  <si>
    <t>TEXT FUNCTIONS</t>
  </si>
  <si>
    <t>GESTION DES TEXTES</t>
  </si>
  <si>
    <t>40. TEXT</t>
  </si>
  <si>
    <t>oct</t>
  </si>
  <si>
    <t>octobre</t>
  </si>
  <si>
    <t>october</t>
  </si>
  <si>
    <t>50. FILTER</t>
  </si>
  <si>
    <t>nov</t>
  </si>
  <si>
    <t>novembre</t>
  </si>
  <si>
    <t>november</t>
  </si>
  <si>
    <t>SORT | SORTBY</t>
  </si>
  <si>
    <t>TRIER | TRIERPAR</t>
  </si>
  <si>
    <t>50. SORT</t>
  </si>
  <si>
    <t>déc</t>
  </si>
  <si>
    <t>décembre</t>
  </si>
  <si>
    <t>dec</t>
  </si>
  <si>
    <t>december</t>
  </si>
  <si>
    <t>INDEX | XMATCH | OFFSET</t>
  </si>
  <si>
    <t>INDEX | EQUIVX | DECALER</t>
  </si>
  <si>
    <t>60. INDEX</t>
  </si>
  <si>
    <t xml:space="preserve">VLOOKUP </t>
  </si>
  <si>
    <t>60. VLOOKUP</t>
  </si>
  <si>
    <t>60. HLOOKUP</t>
  </si>
  <si>
    <t>60. XLOOKUP</t>
  </si>
  <si>
    <t>Status column</t>
  </si>
  <si>
    <t>FREQUENCY - RANK.EQ</t>
  </si>
  <si>
    <t>FREQUENCE - EQUATION.RANG</t>
  </si>
  <si>
    <t>70. FREQUENCY - RANK</t>
  </si>
  <si>
    <t>Active</t>
  </si>
  <si>
    <t>Actif(ve)</t>
  </si>
  <si>
    <t>STDEV</t>
  </si>
  <si>
    <t>ECARTTYPE</t>
  </si>
  <si>
    <t>75. STDEV</t>
  </si>
  <si>
    <t>Maternity leave</t>
  </si>
  <si>
    <t>Congé maternité</t>
  </si>
  <si>
    <t>MATRIX HANDLING</t>
  </si>
  <si>
    <t>MANIPULATION DE MATRICES</t>
  </si>
  <si>
    <t>78. TABLE MANIP.</t>
  </si>
  <si>
    <t>A3</t>
  </si>
  <si>
    <t>Pre-retirement</t>
  </si>
  <si>
    <t>Pré-retraite</t>
  </si>
  <si>
    <t>80. GROUPBY</t>
  </si>
  <si>
    <t>Training</t>
  </si>
  <si>
    <t>Stagiaire</t>
  </si>
  <si>
    <t>81. PIVOTBY</t>
  </si>
  <si>
    <t>Sick Leave</t>
  </si>
  <si>
    <t>Congé maladie</t>
  </si>
  <si>
    <t>80. LET</t>
  </si>
  <si>
    <t>Retired</t>
  </si>
  <si>
    <t>Retraité</t>
  </si>
  <si>
    <t>90. LAMBDA</t>
  </si>
  <si>
    <t>Inactive</t>
  </si>
  <si>
    <t>Inactif(ve)</t>
  </si>
  <si>
    <t>TRADUCTIONS</t>
  </si>
  <si>
    <t>ID</t>
  </si>
  <si>
    <t>Txt ENG</t>
  </si>
  <si>
    <t>Txt FR</t>
  </si>
  <si>
    <t>VAT</t>
  </si>
  <si>
    <t>TVA</t>
  </si>
  <si>
    <t>PRICE</t>
  </si>
  <si>
    <t>PRIX</t>
  </si>
  <si>
    <t>List of prices with tax</t>
  </si>
  <si>
    <t>Liste des prix TTC</t>
  </si>
  <si>
    <t>Sum of rounded prices with tax</t>
  </si>
  <si>
    <t>Somme TTC arrondie</t>
  </si>
  <si>
    <t>Sum of rounded prices with tax using #</t>
  </si>
  <si>
    <t>Somme TTC arrondie avec #</t>
  </si>
  <si>
    <t>Math array formula</t>
  </si>
  <si>
    <t>Arithmétique matricielle</t>
  </si>
  <si>
    <t>Join array formula</t>
  </si>
  <si>
    <t>Jointure matricielle</t>
  </si>
  <si>
    <t>Boolean array formula</t>
  </si>
  <si>
    <t>Logique matricielle</t>
  </si>
  <si>
    <t>Find the min price for month#</t>
  </si>
  <si>
    <t xml:space="preserve">Trouver le prix min pour le mois# </t>
  </si>
  <si>
    <t>Employee cost calculation</t>
  </si>
  <si>
    <t>Calcul du coût d'un employé</t>
  </si>
  <si>
    <t>Net Salary</t>
  </si>
  <si>
    <t>Salaire net</t>
  </si>
  <si>
    <t>charges</t>
  </si>
  <si>
    <t>Charges sociales</t>
  </si>
  <si>
    <t>Pension</t>
  </si>
  <si>
    <t>LPP</t>
  </si>
  <si>
    <t>Admin costs</t>
  </si>
  <si>
    <t>Frais administratifs</t>
  </si>
  <si>
    <t>Total cost company</t>
  </si>
  <si>
    <t>Charge totale employeur</t>
  </si>
  <si>
    <t>Future value calculation</t>
  </si>
  <si>
    <t>Calcul d'une valeur capitalisée</t>
  </si>
  <si>
    <t>Yearly payment</t>
  </si>
  <si>
    <t>Paiement annuel</t>
  </si>
  <si>
    <t>Initital deposit</t>
  </si>
  <si>
    <t>Dépôt intital</t>
  </si>
  <si>
    <t>Portfolio estimation</t>
  </si>
  <si>
    <t>Estimation d'un portfoloio</t>
  </si>
  <si>
    <t>Weight in portfolio</t>
  </si>
  <si>
    <t>Poids dans portfolio</t>
  </si>
  <si>
    <t>Probability of economic situation</t>
  </si>
  <si>
    <t>Probabilité du marché économique</t>
  </si>
  <si>
    <t>Estimated return (stock A)</t>
  </si>
  <si>
    <t>Retour supposé de l'action A</t>
  </si>
  <si>
    <t>Estimated return (stock B)</t>
  </si>
  <si>
    <t>Retour supposé de l'action B</t>
  </si>
  <si>
    <t>Poor</t>
  </si>
  <si>
    <t>Moyen</t>
  </si>
  <si>
    <t>Normal</t>
  </si>
  <si>
    <t>Good</t>
  </si>
  <si>
    <t>Bon</t>
  </si>
  <si>
    <t>Portfolio estimated return</t>
  </si>
  <si>
    <t>Retour espéré du portfolio</t>
  </si>
  <si>
    <t>Year/Interest rate</t>
  </si>
  <si>
    <t>Année/Intérêt</t>
  </si>
  <si>
    <t>Data in columns</t>
  </si>
  <si>
    <t>Données en colonnes</t>
  </si>
  <si>
    <t>Month</t>
  </si>
  <si>
    <t>Mois</t>
  </si>
  <si>
    <t>First Name</t>
  </si>
  <si>
    <t>Prénom</t>
  </si>
  <si>
    <t>Full Name</t>
  </si>
  <si>
    <t>Nom complet</t>
  </si>
  <si>
    <t>Column</t>
  </si>
  <si>
    <t>Colonne</t>
  </si>
  <si>
    <t>Vertical list</t>
  </si>
  <si>
    <t>Liste verticale</t>
  </si>
  <si>
    <t>Horizontal list</t>
  </si>
  <si>
    <t>Liste horizontale</t>
  </si>
  <si>
    <t>Basic XLOOKUP (to the left)</t>
  </si>
  <si>
    <t>RechercheX basique (vers la gauche)</t>
  </si>
  <si>
    <t>XLOOKUP multiple values</t>
  </si>
  <si>
    <t>RechercheX de plusieurs valeurs</t>
  </si>
  <si>
    <t>XLOOKUP multiple results</t>
  </si>
  <si>
    <t>RechercheX de plusieurs résultats</t>
  </si>
  <si>
    <t>XLOOKUP with wildcard</t>
  </si>
  <si>
    <t>RechercheX avec joker</t>
  </si>
  <si>
    <t>Return</t>
  </si>
  <si>
    <t>Retour souhaité</t>
  </si>
  <si>
    <t>Search Mode</t>
  </si>
  <si>
    <t>Mode de recherche</t>
  </si>
  <si>
    <t>2 way XLOOKUP</t>
  </si>
  <si>
    <t>RECHERCHEX bidirectionelle</t>
  </si>
  <si>
    <t>TOP 3</t>
  </si>
  <si>
    <t>Summing with XLOOKUP</t>
  </si>
  <si>
    <t>Somme avec RECHERCHEX</t>
  </si>
  <si>
    <t>Notice that if the 1st argument of XLOOKUP is a matrix, only one column is returned</t>
  </si>
  <si>
    <t>A noter que si le 1er argument de RechercheX() est une matrice, seule une colonne est retournée</t>
  </si>
  <si>
    <t>Approximate match</t>
  </si>
  <si>
    <t>Recherche approximative</t>
  </si>
  <si>
    <t>Sum of all bonuses for the TOP 3</t>
  </si>
  <si>
    <t>SOMME de tous les bonus pour le Top 3</t>
  </si>
  <si>
    <t>g. TOP 3 with FILTER()</t>
  </si>
  <si>
    <t>g. TOP 3 avec FILTRE()</t>
  </si>
  <si>
    <t>XLOOKUP with 2 lookup values</t>
  </si>
  <si>
    <t>RECHERCHEX avec 2 valeurs de recherche</t>
  </si>
  <si>
    <t>1. Dynamic Array Functions</t>
  </si>
  <si>
    <t>1. Fonctions matricielles</t>
  </si>
  <si>
    <t>2. Lookup and Reference Enhancements</t>
  </si>
  <si>
    <t>2. Améliorations des fonctions de recherche et de référence</t>
  </si>
  <si>
    <t>3. Mathematical and Statistical Functions</t>
  </si>
  <si>
    <t>3. Fonctions mathématiques et statistiques</t>
  </si>
  <si>
    <t>4. AI-Powered and Data Type Functions</t>
  </si>
  <si>
    <t>4. Fonctions basées sur l'IA et les types de données</t>
  </si>
  <si>
    <t>5. Advanced Error Handling</t>
  </si>
  <si>
    <t>5. Gestion avancée des erreurs</t>
  </si>
  <si>
    <t>groupe</t>
  </si>
  <si>
    <t>TEXTJOIN</t>
  </si>
  <si>
    <t>JOINDRE.TEXTE</t>
  </si>
  <si>
    <t>Combines text strings using a delimiter (earlier available in Excel 2016).</t>
  </si>
  <si>
    <t>Combine des chaînes de texte en utilisant un délimiteur (disponible depuis Excel 2016).</t>
  </si>
  <si>
    <t>DANSCOLONNE</t>
  </si>
  <si>
    <t>Advanced replacement for VLOOKUP and HLOOKUP, allowing for flexible lookups.</t>
  </si>
  <si>
    <t>Remplace RECHERCHEV et RECHERCHEH, permet des recherches plus flexibles.</t>
  </si>
  <si>
    <t>REDUIRE</t>
  </si>
  <si>
    <t>PARCOURIR</t>
  </si>
  <si>
    <t>UPPER - LOWER - PROPER</t>
  </si>
  <si>
    <t>MAJUSCULE - MINUSCULE - NOMPROPRE</t>
  </si>
  <si>
    <t>SUBSTITUTE - REPLACE</t>
  </si>
  <si>
    <t>SUBSTITUE - REMPLACER</t>
  </si>
  <si>
    <t>TEXTJOIN - CONCAT</t>
  </si>
  <si>
    <t>JOINDRE.TEXTE - CONCAT</t>
  </si>
  <si>
    <t>LEFT - RIGHT -MID - TEXTBEFORE - TEXTAFTER</t>
  </si>
  <si>
    <t>GAUCHE - DROITE - STXT - TEXTE.AVANT - TEXTE.APRES</t>
  </si>
  <si>
    <t>In order to test a lambda function, type the parameter(s) between brackets in the formula bar.</t>
  </si>
  <si>
    <t>Pour tester une fonction lambda, il suffit d'ajouter le(s) paramètre(s) entre parenthèses dans la barre de formule.</t>
  </si>
  <si>
    <t>a.  LAMBDA() function that creates RC_des_cubes</t>
  </si>
  <si>
    <t>a. Fonction LAMBDA() pour créer RC_des_cubes</t>
  </si>
  <si>
    <t>b. LAMBDA() functions that creates aire_cercle</t>
  </si>
  <si>
    <t>b. Fonction LAMBDA() pour créer aire_cercle</t>
  </si>
  <si>
    <t>Sum of Sales Report Where Sales &gt;250:</t>
  </si>
  <si>
    <t>Sommes des ventes &gt; 250</t>
  </si>
  <si>
    <t>Regional Sales Totals with GROUPBY</t>
  </si>
  <si>
    <t>Totaux des ventes régionales avec GROUPER.PAR</t>
  </si>
  <si>
    <t>LAMBDA version</t>
  </si>
  <si>
    <t>Avec LAMBDA</t>
  </si>
  <si>
    <t>Regional % of Sales Totals</t>
  </si>
  <si>
    <t>% des ventes par région</t>
  </si>
  <si>
    <t>Subtotals, Conditional Formatting</t>
  </si>
  <si>
    <t>Sous-totaux, MFC</t>
  </si>
  <si>
    <t>2 Different Calculations</t>
  </si>
  <si>
    <t>2 calculs différents</t>
  </si>
  <si>
    <t>Old School</t>
  </si>
  <si>
    <t>avant 365</t>
  </si>
  <si>
    <t>Regional Sales Totals with PIVOTBY</t>
  </si>
  <si>
    <t>Totaux régionaux avec PIVOTER.PAR</t>
  </si>
  <si>
    <t>Regional Ave. Sales Report with Calculation Labels</t>
  </si>
  <si>
    <t>Moyennes régionales avec en-têtes</t>
  </si>
  <si>
    <t>LET version</t>
  </si>
  <si>
    <t>Avec LET</t>
  </si>
  <si>
    <t>PIVOTBY Version</t>
  </si>
  <si>
    <t>Avec PIVOTER.PAR</t>
  </si>
  <si>
    <t>GROUPBY AVERAGE</t>
  </si>
  <si>
    <t>GROUPER.PAR + MOYENNE</t>
  </si>
  <si>
    <t>Start Date</t>
  </si>
  <si>
    <t>Date Début</t>
  </si>
  <si>
    <t>End Date</t>
  </si>
  <si>
    <t>Date de fin</t>
  </si>
  <si>
    <t>% of year left</t>
  </si>
  <si>
    <t>% de l'année restant</t>
  </si>
  <si>
    <t>% of year complete</t>
  </si>
  <si>
    <t>% de l'année écoulé</t>
  </si>
  <si>
    <t>Pour tester une fontion lambda, saisir les paramètres entre parenthèses dans la barre de formule</t>
  </si>
  <si>
    <t>Employee</t>
  </si>
  <si>
    <t>Employé</t>
  </si>
  <si>
    <t>Security level</t>
  </si>
  <si>
    <t>Niveau de sécurité</t>
  </si>
  <si>
    <t>Security ranking</t>
  </si>
  <si>
    <t>Rang de sécurité</t>
  </si>
  <si>
    <t>Department</t>
  </si>
  <si>
    <t>Département</t>
  </si>
  <si>
    <t>Region</t>
  </si>
  <si>
    <t>Région</t>
  </si>
  <si>
    <t>Gender</t>
  </si>
  <si>
    <t>Genre</t>
  </si>
  <si>
    <t>Born in</t>
  </si>
  <si>
    <t>Né(e) le</t>
  </si>
  <si>
    <t>Bonus</t>
  </si>
  <si>
    <t>Bonus ranking</t>
  </si>
  <si>
    <t>Rang Bonus</t>
  </si>
  <si>
    <t>Birth years distribution</t>
  </si>
  <si>
    <t>Distribution des années de naissance</t>
  </si>
  <si>
    <t>Bonus distribution</t>
  </si>
  <si>
    <t>Distribution des bonus</t>
  </si>
  <si>
    <t>Products</t>
  </si>
  <si>
    <t>Produits</t>
  </si>
  <si>
    <t>Unit price</t>
  </si>
  <si>
    <t>Prix unitaire</t>
  </si>
  <si>
    <t>cost</t>
  </si>
  <si>
    <t>Coût</t>
  </si>
  <si>
    <t>Last sale</t>
  </si>
  <si>
    <t>Dernière vente</t>
  </si>
  <si>
    <t>Qty</t>
  </si>
  <si>
    <t>Qté</t>
  </si>
  <si>
    <t>Logical tests</t>
  </si>
  <si>
    <t>Tests logiques</t>
  </si>
  <si>
    <t>Average</t>
  </si>
  <si>
    <t>Moyenne</t>
  </si>
  <si>
    <t>Threshold</t>
  </si>
  <si>
    <t>Seuil</t>
  </si>
  <si>
    <t>Sum of positive sales</t>
  </si>
  <si>
    <t>Total quantities with less than 60 units per sale</t>
  </si>
  <si>
    <t>Totaux des ventes inferieures a 60 unites</t>
  </si>
  <si>
    <t>Total quantities 1 &amp; 2 when the value is greater than 60 units per sale</t>
  </si>
  <si>
    <t>Ventes où les qtés 1 et 2 sont supérieures à 60</t>
  </si>
  <si>
    <t>Total quantities 3 &amp; 4 when total for 1 &amp; 2 is greater than 60 units per sale</t>
  </si>
  <si>
    <t>Totaux des qtés 3 et 4 lorsque les qtés 1 et 2 sont supérieures à 60</t>
  </si>
  <si>
    <t>Total nb of orders</t>
  </si>
  <si>
    <t>NB de ventes dans la plage sélectionnée</t>
  </si>
  <si>
    <t>Nb of orders with less than 60 units sold</t>
  </si>
  <si>
    <t>NB de ventes de 60 unités au max</t>
  </si>
  <si>
    <t>Average of totals over 230</t>
  </si>
  <si>
    <t>Moyenne des totaux dépassant 230</t>
  </si>
  <si>
    <t>Number of rows containing  40 in the name and cost &lt; 300</t>
  </si>
  <si>
    <t>Nb de lignes où le nom contient 40 et le coût est &lt; à 300</t>
  </si>
  <si>
    <t>Total number of Geforce cards sold with a unit price  &gt; 500 CHF</t>
  </si>
  <si>
    <t>NB total de cartes Geforce vendues avec un PU &gt; à 500</t>
  </si>
  <si>
    <t>Total NB of Geforce sold with a cost between 300 &amp; 500 CHF</t>
  </si>
  <si>
    <t>NB total de cartes Geforce vendues avec un Coût entre 300 et 500</t>
  </si>
  <si>
    <t>Total sales for products starting with 'Ge'</t>
  </si>
  <si>
    <t>Totaux des ventes pour les produits commençant par 'Ge'</t>
  </si>
  <si>
    <t>Sale</t>
  </si>
  <si>
    <t>Vente</t>
  </si>
  <si>
    <t>Company</t>
  </si>
  <si>
    <t>Société</t>
  </si>
  <si>
    <t>Product</t>
  </si>
  <si>
    <t>Produit</t>
  </si>
  <si>
    <t>SUMPRODUCT WITH CONDITION</t>
  </si>
  <si>
    <t>SOMMEPRODUIT AVEC CONDITION</t>
  </si>
  <si>
    <t>La 1ère condition doit être booléenne d'où le *1</t>
  </si>
  <si>
    <t>FILTER WITH 1 CONDITION</t>
  </si>
  <si>
    <t>FILTRER AVEC 1 CONDITION</t>
  </si>
  <si>
    <t>FILTER WITH 2 CONDITIONS</t>
  </si>
  <si>
    <t>FILTRER AVEC  2 CONDITIONS</t>
  </si>
  <si>
    <t>FILTER AND CHOOSE COLUMNS</t>
  </si>
  <si>
    <t>FILTRER ET CHOISIR LES COLONNES</t>
  </si>
  <si>
    <t>FILTER FROM ARRAY FORMULA</t>
  </si>
  <si>
    <t>FILTRER DEPUIS UN RESULTAT MATRICIEL</t>
  </si>
  <si>
    <t>NESTED FILTERING</t>
  </si>
  <si>
    <t>FILTRES IMBRIQUES</t>
  </si>
  <si>
    <t>logical test within a formula</t>
  </si>
  <si>
    <t>Test logique dans une formule</t>
  </si>
  <si>
    <t>Don't forget the ( and ) around boolean comparisons !</t>
  </si>
  <si>
    <t>N'oubliez pas les parenthèses autour des comparaisons booléennes</t>
  </si>
  <si>
    <t>Sort a Table on salary ASC</t>
  </si>
  <si>
    <t xml:space="preserve">Tri croissant sur salaire </t>
  </si>
  <si>
    <t>Multi-column sort</t>
  </si>
  <si>
    <t>Tri multi-colonnes</t>
  </si>
  <si>
    <t>Sorting the salary column DESC</t>
  </si>
  <si>
    <t>Tri décroissant sur salaire</t>
  </si>
  <si>
    <t>ROW</t>
  </si>
  <si>
    <t>LIGNE</t>
  </si>
  <si>
    <t>COL</t>
  </si>
  <si>
    <t>COLONNE</t>
  </si>
  <si>
    <t>Who's in row 17 and col 3 ?</t>
  </si>
  <si>
    <t>Qui est en ligne 17 et col 3 ?</t>
  </si>
  <si>
    <t>Which column contains this data ?</t>
  </si>
  <si>
    <t>Quelle colonne contient cette donnée ?</t>
  </si>
  <si>
    <t xml:space="preserve">Show the row number of </t>
  </si>
  <si>
    <t xml:space="preserve">Indiquer le no de ligne de </t>
  </si>
  <si>
    <t>Which category is  Paul Klee in ?</t>
  </si>
  <si>
    <t>Dans quelle catégorie est Paul Klee</t>
  </si>
  <si>
    <t>FIND ALL PEOPLE IN THE SAME CATEGORY AS PAUL KLEE</t>
  </si>
  <si>
    <t>Trouver toutes les personnes dans la même catégorie que Paul Klee</t>
  </si>
  <si>
    <t>VLOOKUP WITH WILDCARD</t>
  </si>
  <si>
    <t>RECHERCHEV avec joker</t>
  </si>
  <si>
    <t>SEARCH WITH INDEX AND MATCH</t>
  </si>
  <si>
    <t>Recherche avec EQUIVX et INDEX</t>
  </si>
  <si>
    <t>HORIZONTAL MATRIX VLOOKUP</t>
  </si>
  <si>
    <t>RECHERCHEV avec résultat matriciel horizontal</t>
  </si>
  <si>
    <t>VERTICAL MATRIX VLOOKUP</t>
  </si>
  <si>
    <t>RECHERCHEV avec résultat matriciel vertical</t>
  </si>
  <si>
    <t>FILTER WITH WILDCARD</t>
  </si>
  <si>
    <t>FILTRER AVEC JOKER</t>
  </si>
  <si>
    <t>Value to look for (in name)</t>
  </si>
  <si>
    <t>Valeur cherchée (nom)</t>
  </si>
  <si>
    <t>within a table</t>
  </si>
  <si>
    <t>dans un tableau</t>
  </si>
  <si>
    <t>New search and index functions</t>
  </si>
  <si>
    <t>Nouvelles fonctions de recherche et d'indexation</t>
  </si>
  <si>
    <t>Mathematical &amp; statistical functions</t>
  </si>
  <si>
    <t>Fonctions mathématiques et statistiques</t>
  </si>
  <si>
    <t>AI based functions</t>
  </si>
  <si>
    <t>Fonctions basées sur l'IA</t>
  </si>
  <si>
    <t>Advanced error handling</t>
  </si>
  <si>
    <t>Gestion avancée des erreurs</t>
  </si>
  <si>
    <t>\' may be replaced by '.' in an horizontal list depending on your windows regional settings</t>
  </si>
  <si>
    <t>« \ » peut être remplacé par « . » dans une liste horizontale selon les paramètres régionaux de Windows</t>
  </si>
  <si>
    <t>An array formula is a formula that works on a set of values [table, matrix] and return a single result or a range of cells (array).</t>
  </si>
  <si>
    <t>Une formule matricielle est une formule qui travaille sur un ensemble de valeurs (tableau, matrice) et qui renvoie un seul résultat ou une plage de cellules (matrice).</t>
  </si>
  <si>
    <t>Use the '#' symbol to select all output values froma  matrix function</t>
  </si>
  <si>
    <t>Utilisez le symbole '#' pour sélectionner toutes les valeurs issues d'une fonction matricielle</t>
  </si>
  <si>
    <t>A matrix function only resides in the top left cell of the resulting array</t>
  </si>
  <si>
    <t>Une fonction matricielle réside uniquement dans la cellule en haut à gauche de la matrice résultante.</t>
  </si>
  <si>
    <t>All other results will display the original formula grayed out (not editable).</t>
  </si>
  <si>
    <t>Toutes les autres cellules de la matrice montreront la formule originale grisée (non modifiable).</t>
  </si>
  <si>
    <t>Array functions can also be part of defined names.</t>
  </si>
  <si>
    <t>Les fonctions matricielles peuvent aussi faire partie des noms définis.</t>
  </si>
  <si>
    <t>Data validation usign an array function</t>
  </si>
  <si>
    <t>Validation de donnée utilisant une fonction matricielle</t>
  </si>
  <si>
    <t>Array multiplication: multiply an array by a number</t>
  </si>
  <si>
    <t>Multiplication matricielle: multipliez une matrice par un nombre.</t>
  </si>
  <si>
    <t>Array manipulation</t>
  </si>
  <si>
    <t>Manipulation de matrice</t>
  </si>
  <si>
    <t>Array manipulation in an IF function</t>
  </si>
  <si>
    <t>Manipulation de matrice dans une fonction SI</t>
  </si>
  <si>
    <t>365 functions</t>
  </si>
  <si>
    <t>Fonctions 365</t>
  </si>
  <si>
    <t>Initial capital</t>
  </si>
  <si>
    <t>Capital initial</t>
  </si>
  <si>
    <t>Estimated return of a capital with fixed interest</t>
  </si>
  <si>
    <t>Retour estimatif d'un capital à intérêt fixe</t>
  </si>
  <si>
    <t>Periods/Interest rate</t>
  </si>
  <si>
    <t>Périodes/Intérêt</t>
  </si>
  <si>
    <t>Net salary</t>
  </si>
  <si>
    <t>Salaire Net</t>
  </si>
  <si>
    <t>AVS, AI, etc</t>
  </si>
  <si>
    <t>Fixed cost</t>
  </si>
  <si>
    <t>Charges fixes</t>
  </si>
  <si>
    <t>Gross costs</t>
  </si>
  <si>
    <t>Dépenses brutes</t>
  </si>
  <si>
    <t>Ludovic Moreau</t>
  </si>
  <si>
    <t>moreau@artofnet.ch</t>
  </si>
  <si>
    <t>Excel functions (alphabetical)</t>
  </si>
  <si>
    <t>Fonctions Excel (alphabétiques)</t>
  </si>
  <si>
    <t/>
  </si>
  <si>
    <t>Shares</t>
  </si>
  <si>
    <t>Price</t>
  </si>
  <si>
    <t>Totals</t>
  </si>
  <si>
    <t>total</t>
  </si>
  <si>
    <t>PROD</t>
  </si>
  <si>
    <t>TOTAL</t>
  </si>
  <si>
    <t>Prod1</t>
  </si>
  <si>
    <t>Prod2</t>
  </si>
  <si>
    <t>Prod3</t>
  </si>
  <si>
    <t>=VC(taux ; npm ; vpm ; [va] ; [type])</t>
  </si>
  <si>
    <t>taux</t>
  </si>
  <si>
    <t>Oui</t>
  </si>
  <si>
    <t>Taux d’intérêt par période (mensuel, annuel…). [support.mi...rosoft.com]</t>
  </si>
  <si>
    <t>npm</t>
  </si>
  <si>
    <t>Nombre total de périodes (mois, années…). [support.mi...rosoft.com]</t>
  </si>
  <si>
    <t>vpm</t>
  </si>
  <si>
    <t>Paiement effectué à chaque période (souvent négatif car sortie d’argent). [support.mi...rosoft.com]</t>
  </si>
  <si>
    <t>va</t>
  </si>
  <si>
    <t>Non</t>
  </si>
  <si>
    <t>Valeur actuelle (capital initial). Par défaut = 0. [support.mi...rosoft.com]</t>
  </si>
  <si>
    <t>type</t>
  </si>
  <si>
    <t>Indique quand les paiements ont lieu : 0 = fin de période, 1 = début. [support.mi...rosoft.com]</t>
  </si>
  <si>
    <r>
      <t xml:space="preserve">VC (Valeur Capitalisée) = fonction financière utilisée pour projeter la </t>
    </r>
    <r>
      <rPr>
        <b/>
        <sz val="11"/>
        <color theme="1"/>
        <rFont val="Segoe UI"/>
        <family val="2"/>
      </rPr>
      <t>croissance d’un capital</t>
    </r>
    <r>
      <rPr>
        <sz val="11"/>
        <color theme="1"/>
        <rFont val="Segoe UI"/>
        <family val="2"/>
      </rPr>
      <t xml:space="preserve"> dans le temps</t>
    </r>
  </si>
  <si>
    <t>Portfolio value</t>
  </si>
  <si>
    <t>Portfolio growth before dividends</t>
  </si>
  <si>
    <t>Dividends</t>
  </si>
  <si>
    <t xml:space="preserve">Global growth </t>
  </si>
  <si>
    <t>Stock A Growth</t>
  </si>
  <si>
    <t>Stock B Growth</t>
  </si>
  <si>
    <t xml:space="preserve">Stock A </t>
  </si>
  <si>
    <t>Stock B</t>
  </si>
  <si>
    <t>Total</t>
  </si>
  <si>
    <t>%</t>
  </si>
  <si>
    <t>Optimistic</t>
  </si>
  <si>
    <t>Company1</t>
  </si>
  <si>
    <t>HDD1</t>
  </si>
  <si>
    <t>Company2</t>
  </si>
  <si>
    <t>HDD2</t>
  </si>
  <si>
    <t>Company3</t>
  </si>
  <si>
    <t>HDD9</t>
  </si>
  <si>
    <t>Ecran2</t>
  </si>
  <si>
    <t>Company4</t>
  </si>
  <si>
    <t>Clavier1</t>
  </si>
  <si>
    <t>Company5</t>
  </si>
  <si>
    <t>Clavier2</t>
  </si>
  <si>
    <t>Ecran1</t>
  </si>
  <si>
    <t>Ecran3</t>
  </si>
  <si>
    <t>Clavier3</t>
  </si>
  <si>
    <t>TOTAL 1</t>
  </si>
  <si>
    <t>TOTAL 2</t>
  </si>
  <si>
    <t>Salary</t>
  </si>
  <si>
    <t>City</t>
  </si>
  <si>
    <t>Status</t>
  </si>
  <si>
    <t>Input</t>
  </si>
  <si>
    <t>finance</t>
  </si>
  <si>
    <t>Finance</t>
  </si>
  <si>
    <t>Camille Dubois</t>
  </si>
  <si>
    <t>F</t>
  </si>
  <si>
    <t>Zurich</t>
  </si>
  <si>
    <t>*</t>
  </si>
  <si>
    <t>Marketing</t>
  </si>
  <si>
    <t>Lucas Martin</t>
  </si>
  <si>
    <t>M</t>
  </si>
  <si>
    <t>Geneva</t>
  </si>
  <si>
    <t>+</t>
  </si>
  <si>
    <t>Sales</t>
  </si>
  <si>
    <t>Manon Lambert</t>
  </si>
  <si>
    <t>Berne</t>
  </si>
  <si>
    <t>Hugo Dupont</t>
  </si>
  <si>
    <t>Emma Garcia</t>
  </si>
  <si>
    <t>Louis Chevalier</t>
  </si>
  <si>
    <t>Léa Rousseau</t>
  </si>
  <si>
    <t>ND</t>
  </si>
  <si>
    <t>Nathan Leroy</t>
  </si>
  <si>
    <t>Chloé Lefebvre</t>
  </si>
  <si>
    <t>Enzo Moreau</t>
  </si>
  <si>
    <t>Clara Mercier</t>
  </si>
  <si>
    <t>Théo Laurent</t>
  </si>
  <si>
    <t>Zoé Girard</t>
  </si>
  <si>
    <t>Gabriel Petit</t>
  </si>
  <si>
    <t>Jade Simon</t>
  </si>
  <si>
    <t>Maxime Robin</t>
  </si>
  <si>
    <t>Lausanne</t>
  </si>
  <si>
    <t>Sarah Thomas</t>
  </si>
  <si>
    <t>Mathis Leroux</t>
  </si>
  <si>
    <t>Inès Martinez</t>
  </si>
  <si>
    <t>Ethan Gauthier</t>
  </si>
  <si>
    <t>ma</t>
  </si>
  <si>
    <t>Emma Gauthier</t>
  </si>
  <si>
    <t>Ventes</t>
  </si>
  <si>
    <t>Cat</t>
  </si>
  <si>
    <t>Nom</t>
  </si>
  <si>
    <t>Sports</t>
  </si>
  <si>
    <t>Didier Cuche</t>
  </si>
  <si>
    <t>Politique</t>
  </si>
  <si>
    <t>Pascal Couchepin</t>
  </si>
  <si>
    <t>Business/Innovation</t>
  </si>
  <si>
    <t>Hansjörg Wyss</t>
  </si>
  <si>
    <t>Science</t>
  </si>
  <si>
    <t>Bertrand Piccard</t>
  </si>
  <si>
    <t>Ueli Maurer</t>
  </si>
  <si>
    <t>Henri Nestlé</t>
  </si>
  <si>
    <t>Histoire</t>
  </si>
  <si>
    <t>Carl Jung</t>
  </si>
  <si>
    <t>Jean-Jacques Rousseau</t>
  </si>
  <si>
    <t>Ignazio Cassis</t>
  </si>
  <si>
    <t>Ernesto Bertarelli</t>
  </si>
  <si>
    <t>Jean-Pascal Delamuraz</t>
  </si>
  <si>
    <t>Paul Klee</t>
  </si>
  <si>
    <t>Roger Federer</t>
  </si>
  <si>
    <t>Henry Dunant</t>
  </si>
  <si>
    <t>Auteur / Artiste</t>
  </si>
  <si>
    <t>Johanna Spyri</t>
  </si>
  <si>
    <t>Guy Parmelin</t>
  </si>
  <si>
    <t>Nicolas Hayek</t>
  </si>
  <si>
    <t>William Tell</t>
  </si>
  <si>
    <t>Alberto Giacometti</t>
  </si>
  <si>
    <t>Martina Hingis</t>
  </si>
  <si>
    <t>Daniel Borel</t>
  </si>
  <si>
    <t>Simonetta Sommaruga</t>
  </si>
  <si>
    <t>Auguste Piccard</t>
  </si>
  <si>
    <t>Leonhard Euler</t>
  </si>
  <si>
    <t>Lara Gut-Behrami</t>
  </si>
  <si>
    <t>Micheline Calmy-Rey</t>
  </si>
  <si>
    <t>Albert Einstein</t>
  </si>
  <si>
    <t>Stan Wawrinka</t>
  </si>
  <si>
    <t>Hermann Hesse</t>
  </si>
  <si>
    <t>Friedrich Dürrenmatt</t>
  </si>
  <si>
    <t>Name</t>
  </si>
  <si>
    <t>Solde vacances</t>
  </si>
  <si>
    <t>James Willard</t>
  </si>
  <si>
    <t>ID18</t>
  </si>
  <si>
    <t>Bern</t>
  </si>
  <si>
    <t>Robert Spear</t>
  </si>
  <si>
    <t>ID8</t>
  </si>
  <si>
    <t>Dan</t>
  </si>
  <si>
    <t>Paul Garza</t>
  </si>
  <si>
    <t>ID24</t>
  </si>
  <si>
    <t>Robert Marquez</t>
  </si>
  <si>
    <t>ID23</t>
  </si>
  <si>
    <t>Kim Montreux</t>
  </si>
  <si>
    <t>ID13</t>
  </si>
  <si>
    <t>Natalie Porter</t>
  </si>
  <si>
    <t>Stevie Bridge</t>
  </si>
  <si>
    <t>ID7</t>
  </si>
  <si>
    <t>Paul Wells</t>
  </si>
  <si>
    <t>ID19</t>
  </si>
  <si>
    <t>Ewan Thompson</t>
  </si>
  <si>
    <t>ID22</t>
  </si>
  <si>
    <t>Walter Miller</t>
  </si>
  <si>
    <t>ID5</t>
  </si>
  <si>
    <t>Peter Ramsy</t>
  </si>
  <si>
    <t>ID9</t>
  </si>
  <si>
    <t>Wolfgang Ramjac</t>
  </si>
  <si>
    <t>ID17</t>
  </si>
  <si>
    <t>Brigitte Bond</t>
  </si>
  <si>
    <t>ID10</t>
  </si>
  <si>
    <t>Maria Tot</t>
  </si>
  <si>
    <t>ID21</t>
  </si>
  <si>
    <t>ID3</t>
  </si>
  <si>
    <t>Procurement</t>
  </si>
  <si>
    <t>Biel</t>
  </si>
  <si>
    <t>Andre Cooper</t>
  </si>
  <si>
    <t>ID29</t>
  </si>
  <si>
    <t>Robert Musser</t>
  </si>
  <si>
    <t>ID30</t>
  </si>
  <si>
    <t>Ann Withers</t>
  </si>
  <si>
    <t>ID14</t>
  </si>
  <si>
    <t>Corinna Schmidt</t>
  </si>
  <si>
    <t>ID16</t>
  </si>
  <si>
    <t>Mike Saban</t>
  </si>
  <si>
    <t>ID27</t>
  </si>
  <si>
    <t>Gary Miller</t>
  </si>
  <si>
    <t>ID4</t>
  </si>
  <si>
    <t>Richard Elliot</t>
  </si>
  <si>
    <t>ID12</t>
  </si>
  <si>
    <t>Roger Mun</t>
  </si>
  <si>
    <t>ID20</t>
  </si>
  <si>
    <t>Daniel Garrett</t>
  </si>
  <si>
    <t>ID28</t>
  </si>
  <si>
    <t>Paul Hill</t>
  </si>
  <si>
    <t>ID25</t>
  </si>
  <si>
    <t>Crystal Doyle</t>
  </si>
  <si>
    <t>ID1</t>
  </si>
  <si>
    <t>Betina Bauer</t>
  </si>
  <si>
    <t>ID15</t>
  </si>
  <si>
    <t>Daniela Schreiber</t>
  </si>
  <si>
    <t>ID2</t>
  </si>
  <si>
    <t>Dan Ziegler</t>
  </si>
  <si>
    <t>ID11</t>
  </si>
  <si>
    <t>Robert Richardson</t>
  </si>
  <si>
    <t>ID26</t>
  </si>
  <si>
    <t>Robert Blume</t>
  </si>
  <si>
    <t>ID6</t>
  </si>
  <si>
    <t>Lukas Hofer</t>
  </si>
  <si>
    <t>ID31</t>
  </si>
  <si>
    <t>Corina Doyle</t>
  </si>
  <si>
    <t>0     Exact match (default). If no exact match is found, returns #N/A.
-1   Exact match or next smaller item. 
1     Exact match or next larger item. 
2     Wildcard match. Supports *, ?, and ~ in the lookup value.</t>
  </si>
  <si>
    <t>1    Search from first to last (top to bottom or left to right) — default
-1   Search from last to first (bottom to top or right to left)</t>
  </si>
  <si>
    <t>tbl_Presidents</t>
  </si>
  <si>
    <t>Année / Year</t>
  </si>
  <si>
    <t>Nom / Name</t>
  </si>
  <si>
    <t>Base</t>
  </si>
  <si>
    <t>Base+Bonus</t>
  </si>
  <si>
    <t xml:space="preserve">Extra Bonus </t>
  </si>
  <si>
    <t>Flavio Cotti</t>
  </si>
  <si>
    <t>Georges-André Chevallaz</t>
  </si>
  <si>
    <t>Kurt Furgler</t>
  </si>
  <si>
    <t>Fritz Honegger</t>
  </si>
  <si>
    <t>Pierre Aubert</t>
  </si>
  <si>
    <t>Leon Schlumpf</t>
  </si>
  <si>
    <t>Alphons Egli</t>
  </si>
  <si>
    <t>Elisabeth Kopp</t>
  </si>
  <si>
    <t>Otto Stich</t>
  </si>
  <si>
    <t>*Ogi</t>
  </si>
  <si>
    <t>Arnold Koller</t>
  </si>
  <si>
    <t>search_mode</t>
  </si>
  <si>
    <t>René Felber</t>
  </si>
  <si>
    <t>Adolf Ogi</t>
  </si>
  <si>
    <t>Année</t>
  </si>
  <si>
    <t xml:space="preserve">   1    Search from first to last (top to bottom or left to right) — default</t>
  </si>
  <si>
    <t>Kaspar Villiger</t>
  </si>
  <si>
    <t xml:space="preserve">  -1   Search from last to first (bottom to top or right to left)</t>
  </si>
  <si>
    <t>Ruth Dreifuss</t>
  </si>
  <si>
    <t>Moritz Leuenberger</t>
  </si>
  <si>
    <t>Joseph Deiss</t>
  </si>
  <si>
    <t>Samuel Schmid</t>
  </si>
  <si>
    <t>Hans-Rudolf Merz</t>
  </si>
  <si>
    <t>Doris Leuthard</t>
  </si>
  <si>
    <t>Eveline Widmer-Schlumpf</t>
  </si>
  <si>
    <t>Didier Burkhalter</t>
  </si>
  <si>
    <t>Johann Schneider-Ammann</t>
  </si>
  <si>
    <t>match_mode</t>
  </si>
  <si>
    <t>Alain Berset</t>
  </si>
  <si>
    <t>0     Exact match (default). If no exact match is found, returns #N/A.</t>
  </si>
  <si>
    <t xml:space="preserve">-1   Exact match or next smaller item. </t>
  </si>
  <si>
    <t>Viola Amherd</t>
  </si>
  <si>
    <t xml:space="preserve">1     Exact match or next larger item. </t>
  </si>
  <si>
    <t>2     Wildcard match. Supports *, ?, and ~ in the lookup value.</t>
  </si>
  <si>
    <t>Bonus %</t>
  </si>
  <si>
    <t>Extra Bonus Ranges</t>
  </si>
  <si>
    <t>CAT</t>
  </si>
  <si>
    <t>PAR.LIGNE</t>
  </si>
  <si>
    <t>PAR.COLONNE</t>
  </si>
  <si>
    <t>Matrix</t>
  </si>
  <si>
    <t>&lt; 1970 (incl.)</t>
  </si>
  <si>
    <t>Entre 1971 et 1980</t>
  </si>
  <si>
    <t>Entre 1981 et 1990</t>
  </si>
  <si>
    <t>Entre 1991 et 2000</t>
  </si>
  <si>
    <t>Entre 2001 et 2010</t>
  </si>
  <si>
    <t>&gt; 2010</t>
  </si>
  <si>
    <t>Crystal Stucki</t>
  </si>
  <si>
    <t>Betina Klum</t>
  </si>
  <si>
    <t>Robert Patrick</t>
  </si>
  <si>
    <t>Lukas Arni</t>
  </si>
  <si>
    <t>Evelyne Schreiber</t>
  </si>
  <si>
    <t>Robert Pattison</t>
  </si>
  <si>
    <t>Peter Smith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</si>
</sst>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0\ &quot;CHF&quot;;[Red]\-#,##0\ &quot;CHF&quot;"/>
    <numFmt numFmtId="165" formatCode="#,##0.00\ &quot;CHF&quot;;[Red]\-#,##0.00\ &quot;CHF&quot;"/>
    <numFmt numFmtId="166" formatCode="_-* #,##0.00\ &quot;CHF&quot;_-;\-* #,##0.00\ &quot;CHF&quot;_-;_-* &quot;-&quot;??\ &quot;CHF&quot;_-;_-@_-"/>
    <numFmt numFmtId="167" formatCode="_(* #,##0.00_);_(* \(#,##0.00\);_(* &quot;-&quot;??_);_(@_)"/>
    <numFmt numFmtId="168" formatCode="_-* #,##0\ [$CHF-100C]_-;\-* #,##0\ [$CHF-100C]_-;_-* &quot;-&quot;??\ [$CHF-100C]_-;_-@_-"/>
    <numFmt numFmtId="169" formatCode="_-[$$-409]* #,##0_ ;_-[$$-409]* \-#,##0\ ;_-[$$-409]* &quot;-&quot;??_ ;_-@_ "/>
    <numFmt numFmtId="170" formatCode="0.0%"/>
    <numFmt numFmtId="171" formatCode="#,##0\ &quot;CHF&quot;"/>
    <numFmt numFmtId="172" formatCode="_-* #,##0.00\ [$CHF-100C]_-;\-* #,##0.00\ [$CHF-100C]_-;_-* &quot;-&quot;??\ [$CHF-100C]_-;_-@_-"/>
    <numFmt numFmtId="173" formatCode="0000"/>
  </numFmts>
  <fonts count="60">
    <font>
      <sz val="11"/>
      <color theme="1"/>
      <name val="Calibri"/>
      <family val="2"/>
      <scheme val="minor"/>
    </font>
    <font>
      <b/>
      <sz val="11"/>
      <color theme="1"/>
      <name val="Calibri"/>
      <family val="2"/>
      <scheme val="minor"/>
    </font>
    <font>
      <sz val="11"/>
      <color rgb="FF9C5700"/>
      <name val="Calibri"/>
      <family val="2"/>
      <scheme val="minor"/>
    </font>
    <font>
      <sz val="8"/>
      <name val="Calibri"/>
      <family val="2"/>
      <scheme val="minor"/>
    </font>
    <font>
      <sz val="9"/>
      <color indexed="81"/>
      <name val="Tahoma"/>
      <family val="2"/>
    </font>
    <font>
      <b/>
      <sz val="9"/>
      <color indexed="81"/>
      <name val="Tahoma"/>
      <family val="2"/>
    </font>
    <font>
      <b/>
      <sz val="12"/>
      <color theme="0"/>
      <name val="Calibri"/>
      <family val="2"/>
      <scheme val="minor"/>
    </font>
    <font>
      <b/>
      <sz val="14"/>
      <color theme="1"/>
      <name val="Calibri"/>
      <family val="2"/>
      <scheme val="minor"/>
    </font>
    <font>
      <b/>
      <i/>
      <sz val="12"/>
      <color theme="1"/>
      <name val="Calibri"/>
      <family val="2"/>
      <scheme val="minor"/>
    </font>
    <font>
      <sz val="11"/>
      <color theme="1"/>
      <name val="Calibri"/>
      <family val="2"/>
      <scheme val="minor"/>
    </font>
    <font>
      <b/>
      <sz val="12"/>
      <color theme="1"/>
      <name val="Calibri"/>
      <family val="2"/>
      <scheme val="minor"/>
    </font>
    <font>
      <sz val="22"/>
      <color theme="1"/>
      <name val="Calibri"/>
      <family val="2"/>
      <scheme val="minor"/>
    </font>
    <font>
      <sz val="14"/>
      <color theme="1"/>
      <name val="Calibri"/>
      <family val="2"/>
      <scheme val="minor"/>
    </font>
    <font>
      <sz val="20"/>
      <color theme="1"/>
      <name val="Calibri"/>
      <family val="2"/>
      <scheme val="minor"/>
    </font>
    <font>
      <sz val="11"/>
      <color theme="0"/>
      <name val="Calibri"/>
      <family val="2"/>
      <scheme val="minor"/>
    </font>
    <font>
      <b/>
      <sz val="14"/>
      <color theme="9" tint="-0.249977111117893"/>
      <name val="Calibri"/>
      <family val="2"/>
      <scheme val="minor"/>
    </font>
    <font>
      <b/>
      <sz val="14"/>
      <color theme="0"/>
      <name val="Calibri"/>
      <family val="2"/>
      <scheme val="minor"/>
    </font>
    <font>
      <sz val="16"/>
      <color theme="1"/>
      <name val="Calibri"/>
      <family val="2"/>
      <scheme val="minor"/>
    </font>
    <font>
      <b/>
      <sz val="16"/>
      <color theme="1"/>
      <name val="Calibri"/>
      <family val="2"/>
      <scheme val="minor"/>
    </font>
    <font>
      <sz val="14"/>
      <color theme="0"/>
      <name val="Calibri"/>
      <family val="2"/>
      <scheme val="minor"/>
    </font>
    <font>
      <sz val="18"/>
      <color theme="0"/>
      <name val="Calibri"/>
      <family val="2"/>
      <scheme val="minor"/>
    </font>
    <font>
      <sz val="18"/>
      <color theme="1"/>
      <name val="Calibri"/>
      <family val="2"/>
      <scheme val="minor"/>
    </font>
    <font>
      <u/>
      <sz val="20"/>
      <color theme="0"/>
      <name val="Aptos Black"/>
      <family val="2"/>
    </font>
    <font>
      <b/>
      <sz val="11"/>
      <color theme="0"/>
      <name val="Calibri"/>
      <family val="2"/>
      <scheme val="minor"/>
    </font>
    <font>
      <u/>
      <sz val="11"/>
      <color theme="10"/>
      <name val="Calibri"/>
      <family val="2"/>
      <scheme val="minor"/>
    </font>
    <font>
      <sz val="9"/>
      <color theme="1"/>
      <name val="Calibri"/>
      <family val="2"/>
      <scheme val="minor"/>
    </font>
    <font>
      <sz val="11"/>
      <color theme="8" tint="-0.249977111117893"/>
      <name val="Calibri"/>
      <family val="2"/>
      <scheme val="minor"/>
    </font>
    <font>
      <sz val="12"/>
      <color theme="1"/>
      <name val="Calibri"/>
      <family val="2"/>
      <scheme val="minor"/>
    </font>
    <font>
      <sz val="10"/>
      <name val="Arial"/>
      <family val="2"/>
    </font>
    <font>
      <sz val="14"/>
      <name val="Calibri"/>
      <family val="2"/>
      <scheme val="minor"/>
    </font>
    <font>
      <sz val="11"/>
      <color theme="1"/>
      <name val="Aptos Narrow"/>
      <family val="2"/>
    </font>
    <font>
      <sz val="48"/>
      <color theme="1"/>
      <name val="Calibri"/>
      <family val="2"/>
      <scheme val="minor"/>
    </font>
    <font>
      <sz val="40"/>
      <color theme="1"/>
      <name val="Calibri"/>
      <family val="2"/>
      <scheme val="minor"/>
    </font>
    <font>
      <b/>
      <i/>
      <sz val="14"/>
      <color theme="9" tint="-0.249977111117893"/>
      <name val="Calibri"/>
      <family val="2"/>
      <scheme val="minor"/>
    </font>
    <font>
      <sz val="26"/>
      <color theme="9" tint="-0.249977111117893"/>
      <name val="Calibri"/>
      <family val="2"/>
      <scheme val="minor"/>
    </font>
    <font>
      <b/>
      <i/>
      <sz val="14"/>
      <color theme="1"/>
      <name val="Calibri"/>
      <family val="2"/>
      <scheme val="minor"/>
    </font>
    <font>
      <i/>
      <sz val="12"/>
      <color theme="1"/>
      <name val="Calibri"/>
      <family val="2"/>
      <scheme val="minor"/>
    </font>
    <font>
      <b/>
      <sz val="14"/>
      <color theme="4" tint="-0.24994659260841701"/>
      <name val="Calibri"/>
      <family val="2"/>
      <scheme val="minor"/>
    </font>
    <font>
      <sz val="16"/>
      <name val="Calibri"/>
      <family val="2"/>
      <scheme val="minor"/>
    </font>
    <font>
      <b/>
      <sz val="14"/>
      <color rgb="FF3F3F76"/>
      <name val="Calibri"/>
      <family val="2"/>
      <scheme val="minor"/>
    </font>
    <font>
      <b/>
      <sz val="14"/>
      <color theme="1" tint="0.39997558519241921"/>
      <name val="Calibri"/>
      <family val="2"/>
      <scheme val="minor"/>
    </font>
    <font>
      <b/>
      <sz val="14"/>
      <color theme="5" tint="-0.249977111117893"/>
      <name val="Calibri"/>
      <family val="2"/>
      <scheme val="minor"/>
    </font>
    <font>
      <sz val="10"/>
      <color theme="1"/>
      <name val="Arial Unicode MS"/>
    </font>
    <font>
      <b/>
      <sz val="16"/>
      <color theme="4" tint="-0.249977111117893"/>
      <name val="Calibri"/>
      <family val="2"/>
      <scheme val="minor"/>
    </font>
    <font>
      <sz val="16"/>
      <color theme="9" tint="-0.249977111117893"/>
      <name val="Calibri"/>
      <family val="2"/>
      <scheme val="minor"/>
    </font>
    <font>
      <sz val="14"/>
      <color theme="9" tint="-0.249977111117893"/>
      <name val="Calibri"/>
      <family val="2"/>
      <scheme val="minor"/>
    </font>
    <font>
      <b/>
      <u/>
      <sz val="18"/>
      <color theme="10"/>
      <name val="Calibri"/>
      <family val="2"/>
      <scheme val="minor"/>
    </font>
    <font>
      <b/>
      <sz val="12"/>
      <color rgb="FF002060"/>
      <name val="Calibri"/>
      <family val="2"/>
      <scheme val="minor"/>
    </font>
    <font>
      <sz val="11"/>
      <name val="Calibri"/>
      <family val="2"/>
      <scheme val="minor"/>
    </font>
    <font>
      <sz val="36"/>
      <color theme="1"/>
      <name val="Calibri"/>
      <family val="2"/>
      <scheme val="minor"/>
    </font>
    <font>
      <sz val="20"/>
      <color theme="9" tint="-0.249977111117893"/>
      <name val="Calibri"/>
      <family val="2"/>
      <scheme val="minor"/>
    </font>
    <font>
      <sz val="12"/>
      <color rgb="FF1E1E1E"/>
      <name val="Segoe UI"/>
      <family val="2"/>
    </font>
    <font>
      <sz val="11"/>
      <color rgb="FF000000"/>
      <name val="Segoe UI"/>
      <family val="2"/>
    </font>
    <font>
      <sz val="11"/>
      <color theme="1"/>
      <name val="Segoe UI"/>
      <family val="2"/>
    </font>
    <font>
      <b/>
      <sz val="18"/>
      <color theme="0"/>
      <name val="Calibri"/>
      <family val="2"/>
      <scheme val="minor"/>
    </font>
    <font>
      <i/>
      <sz val="11"/>
      <color theme="1"/>
      <name val="Calibri"/>
      <family val="2"/>
      <scheme val="minor"/>
    </font>
    <font>
      <i/>
      <sz val="14"/>
      <color theme="1"/>
      <name val="Calibri"/>
      <family val="2"/>
      <scheme val="minor"/>
    </font>
    <font>
      <u/>
      <sz val="36"/>
      <color theme="0"/>
      <name val="Aptos Black"/>
      <family val="2"/>
    </font>
    <font>
      <b/>
      <sz val="11"/>
      <color theme="1"/>
      <name val="Segoe UI"/>
      <family val="2"/>
    </font>
    <font>
      <b/>
      <u/>
      <sz val="16"/>
      <color theme="10"/>
      <name val="Calibri"/>
      <family val="2"/>
      <scheme val="minor"/>
    </font>
  </fonts>
  <fills count="26">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rgb="FFFFEB9C"/>
      </patternFill>
    </fill>
    <fill>
      <patternFill patternType="solid">
        <fgColor theme="1"/>
        <bgColor indexed="64"/>
      </patternFill>
    </fill>
    <fill>
      <patternFill patternType="solid">
        <fgColor theme="7" tint="0.79998168889431442"/>
        <bgColor indexed="64"/>
      </patternFill>
    </fill>
    <fill>
      <patternFill patternType="solid">
        <fgColor theme="7" tint="0.39997558519241921"/>
        <bgColor indexed="65"/>
      </patternFill>
    </fill>
    <fill>
      <patternFill patternType="solid">
        <fgColor theme="8" tint="0.39997558519241921"/>
        <bgColor indexed="65"/>
      </patternFill>
    </fill>
    <fill>
      <patternFill patternType="solid">
        <fgColor rgb="FFFFFF00"/>
        <bgColor indexed="64"/>
      </patternFill>
    </fill>
    <fill>
      <patternFill patternType="solid">
        <fgColor theme="8"/>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theme="4" tint="0.79998168889431442"/>
        <bgColor theme="4" tint="0.79998168889431442"/>
      </patternFill>
    </fill>
    <fill>
      <patternFill patternType="solid">
        <fgColor theme="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indexed="26"/>
      </patternFill>
    </fill>
    <fill>
      <patternFill patternType="solid">
        <fgColor theme="2"/>
        <bgColor indexed="64"/>
      </patternFill>
    </fill>
    <fill>
      <patternFill patternType="solid">
        <fgColor rgb="FFFFCC99"/>
      </patternFill>
    </fill>
    <fill>
      <patternFill patternType="solid">
        <fgColor theme="0" tint="-0.14999847407452621"/>
        <bgColor theme="0" tint="-0.14999847407452621"/>
      </patternFill>
    </fill>
    <fill>
      <patternFill patternType="solid">
        <fgColor theme="6" tint="0.79998168889431442"/>
        <bgColor indexed="64"/>
      </patternFill>
    </fill>
    <fill>
      <patternFill patternType="solid">
        <fgColor theme="1" tint="0.79998168889431442"/>
        <bgColor indexed="64"/>
      </patternFill>
    </fill>
    <fill>
      <patternFill patternType="solid">
        <fgColor theme="7"/>
      </patternFill>
    </fill>
    <fill>
      <patternFill patternType="solid">
        <fgColor theme="8" tint="0.79998168889431442"/>
        <bgColor indexed="64"/>
      </patternFill>
    </fill>
    <fill>
      <patternFill patternType="solid">
        <fgColor rgb="FFF5F5F5"/>
        <bgColor indexed="64"/>
      </patternFill>
    </fill>
  </fills>
  <borders count="40">
    <border>
      <left/>
      <right/>
      <top/>
      <bottom/>
      <diagonal/>
    </border>
    <border>
      <left/>
      <right/>
      <top/>
      <bottom style="thick">
        <color theme="1" tint="0.499984740745262"/>
      </bottom>
      <diagonal/>
    </border>
    <border>
      <left/>
      <right/>
      <top/>
      <bottom style="thin">
        <color theme="4"/>
      </bottom>
      <diagonal/>
    </border>
    <border>
      <left/>
      <right/>
      <top style="thick">
        <color theme="1" tint="0.499984740745262"/>
      </top>
      <bottom/>
      <diagonal/>
    </border>
    <border>
      <left style="thin">
        <color rgb="FF7F7F7F"/>
      </left>
      <right style="thin">
        <color rgb="FF7F7F7F"/>
      </right>
      <top style="thin">
        <color rgb="FF7F7F7F"/>
      </top>
      <bottom style="thin">
        <color rgb="FF7F7F7F"/>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right/>
      <top/>
      <bottom style="medium">
        <color theme="4"/>
      </bottom>
      <diagonal/>
    </border>
    <border>
      <left/>
      <right style="medium">
        <color theme="4"/>
      </right>
      <top/>
      <bottom style="medium">
        <color theme="4"/>
      </bottom>
      <diagonal/>
    </border>
    <border>
      <left/>
      <right/>
      <top/>
      <bottom style="thin">
        <color theme="1"/>
      </bottom>
      <diagonal/>
    </border>
    <border>
      <left style="medium">
        <color theme="4"/>
      </left>
      <right/>
      <top style="medium">
        <color theme="4"/>
      </top>
      <bottom/>
      <diagonal/>
    </border>
    <border>
      <left style="medium">
        <color theme="4"/>
      </left>
      <right/>
      <top/>
      <bottom style="medium">
        <color theme="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theme="7"/>
      </left>
      <right/>
      <top style="medium">
        <color theme="7"/>
      </top>
      <bottom/>
      <diagonal/>
    </border>
    <border>
      <left/>
      <right/>
      <top style="medium">
        <color theme="7"/>
      </top>
      <bottom/>
      <diagonal/>
    </border>
    <border>
      <left/>
      <right style="medium">
        <color theme="7"/>
      </right>
      <top style="medium">
        <color theme="7"/>
      </top>
      <bottom/>
      <diagonal/>
    </border>
    <border>
      <left style="medium">
        <color theme="7"/>
      </left>
      <right/>
      <top/>
      <bottom style="medium">
        <color theme="7"/>
      </bottom>
      <diagonal/>
    </border>
    <border>
      <left/>
      <right/>
      <top/>
      <bottom style="medium">
        <color theme="7"/>
      </bottom>
      <diagonal/>
    </border>
    <border>
      <left/>
      <right style="medium">
        <color theme="7"/>
      </right>
      <top/>
      <bottom style="medium">
        <color theme="7"/>
      </bottom>
      <diagonal/>
    </border>
    <border>
      <left style="medium">
        <color theme="7"/>
      </left>
      <right style="medium">
        <color theme="7"/>
      </right>
      <top style="medium">
        <color theme="7"/>
      </top>
      <bottom/>
      <diagonal/>
    </border>
    <border>
      <left style="medium">
        <color theme="7"/>
      </left>
      <right style="medium">
        <color theme="7"/>
      </right>
      <top/>
      <bottom/>
      <diagonal/>
    </border>
    <border>
      <left style="medium">
        <color theme="7"/>
      </left>
      <right style="medium">
        <color theme="7"/>
      </right>
      <top/>
      <bottom style="medium">
        <color theme="7"/>
      </bottom>
      <diagonal/>
    </border>
    <border>
      <left style="medium">
        <color theme="7"/>
      </left>
      <right/>
      <top/>
      <bottom/>
      <diagonal/>
    </border>
    <border>
      <left/>
      <right style="medium">
        <color theme="7"/>
      </right>
      <top/>
      <bottom/>
      <diagonal/>
    </border>
    <border>
      <left style="medium">
        <color rgb="FFE6E6E6"/>
      </left>
      <right style="medium">
        <color rgb="FFE6E6E6"/>
      </right>
      <top style="medium">
        <color rgb="FFE6E6E6"/>
      </top>
      <bottom style="medium">
        <color rgb="FFE6E6E6"/>
      </bottom>
      <diagonal/>
    </border>
  </borders>
  <cellStyleXfs count="20">
    <xf numFmtId="0" fontId="0" fillId="0" borderId="0"/>
    <xf numFmtId="0" fontId="2" fillId="4"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49" fontId="16" fillId="10" borderId="0"/>
    <xf numFmtId="167" fontId="9"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22" fillId="0" borderId="0"/>
    <xf numFmtId="0" fontId="37" fillId="0" borderId="0"/>
    <xf numFmtId="0" fontId="24" fillId="0" borderId="0" applyNumberFormat="0" applyFill="0" applyBorder="0" applyAlignment="0" applyProtection="0"/>
    <xf numFmtId="0" fontId="28" fillId="17" borderId="0" applyNumberFormat="0" applyFont="0" applyBorder="0" applyAlignment="0" applyProtection="0"/>
    <xf numFmtId="0" fontId="28" fillId="0" borderId="0"/>
    <xf numFmtId="166" fontId="28" fillId="0" borderId="0" applyFont="0" applyFill="0" applyBorder="0" applyAlignment="0" applyProtection="0"/>
    <xf numFmtId="0" fontId="39" fillId="19" borderId="4" applyNumberFormat="0" applyAlignment="0" applyProtection="0"/>
    <xf numFmtId="1" fontId="12" fillId="3" borderId="0"/>
    <xf numFmtId="0" fontId="34" fillId="11" borderId="0"/>
    <xf numFmtId="0" fontId="20" fillId="14" borderId="0"/>
    <xf numFmtId="0" fontId="47" fillId="22" borderId="7"/>
    <xf numFmtId="0" fontId="14" fillId="23" borderId="0" applyNumberFormat="0" applyBorder="0" applyAlignment="0" applyProtection="0"/>
  </cellStyleXfs>
  <cellXfs count="231">
    <xf numFmtId="0" fontId="0" fillId="0" borderId="0" xfId="0"/>
    <xf numFmtId="0" fontId="0" fillId="0" borderId="0" xfId="0" applyAlignment="1">
      <alignment horizontal="left" vertical="center" indent="1"/>
    </xf>
    <xf numFmtId="165" fontId="0" fillId="0" borderId="0" xfId="0" applyNumberFormat="1" applyAlignment="1">
      <alignment horizontal="left" vertical="center" indent="1"/>
    </xf>
    <xf numFmtId="0" fontId="1" fillId="0" borderId="0" xfId="0" applyFont="1"/>
    <xf numFmtId="0" fontId="6" fillId="5" borderId="0" xfId="0" applyFont="1" applyFill="1"/>
    <xf numFmtId="0" fontId="7" fillId="0" borderId="0" xfId="0" applyFont="1"/>
    <xf numFmtId="0" fontId="8" fillId="0" borderId="0" xfId="0" applyFont="1"/>
    <xf numFmtId="1" fontId="0" fillId="0" borderId="0" xfId="0" applyNumberFormat="1"/>
    <xf numFmtId="0" fontId="10" fillId="0" borderId="0" xfId="0" applyFont="1"/>
    <xf numFmtId="0" fontId="11" fillId="0" borderId="0" xfId="0" applyFont="1"/>
    <xf numFmtId="0" fontId="12" fillId="0" borderId="0" xfId="0" applyFont="1"/>
    <xf numFmtId="0" fontId="15" fillId="0" borderId="0" xfId="0" applyFont="1"/>
    <xf numFmtId="0" fontId="0" fillId="0" borderId="0" xfId="0" applyAlignment="1">
      <alignment horizontal="right"/>
    </xf>
    <xf numFmtId="0" fontId="1" fillId="0" borderId="1" xfId="0" applyFont="1" applyBorder="1"/>
    <xf numFmtId="9" fontId="0" fillId="0" borderId="0" xfId="0" applyNumberFormat="1"/>
    <xf numFmtId="0" fontId="0" fillId="11" borderId="0" xfId="0" applyFill="1"/>
    <xf numFmtId="0" fontId="17" fillId="0" borderId="0" xfId="0" applyFont="1"/>
    <xf numFmtId="0" fontId="0" fillId="0" borderId="0" xfId="0" applyAlignment="1">
      <alignment horizontal="center"/>
    </xf>
    <xf numFmtId="170" fontId="0" fillId="0" borderId="0" xfId="0" applyNumberFormat="1"/>
    <xf numFmtId="170" fontId="0" fillId="0" borderId="0" xfId="7" applyNumberFormat="1" applyFont="1"/>
    <xf numFmtId="14" fontId="0" fillId="0" borderId="0" xfId="0" applyNumberFormat="1"/>
    <xf numFmtId="0" fontId="21" fillId="11" borderId="0" xfId="0" applyFont="1" applyFill="1"/>
    <xf numFmtId="0" fontId="21" fillId="6" borderId="0" xfId="0" applyFont="1" applyFill="1"/>
    <xf numFmtId="0" fontId="0" fillId="14" borderId="0" xfId="0" applyFill="1"/>
    <xf numFmtId="0" fontId="37" fillId="0" borderId="0" xfId="9"/>
    <xf numFmtId="0" fontId="25" fillId="0" borderId="0" xfId="0" applyFont="1"/>
    <xf numFmtId="0" fontId="26" fillId="0" borderId="0" xfId="0" applyFont="1"/>
    <xf numFmtId="0" fontId="10" fillId="0" borderId="0" xfId="0" applyFont="1" applyAlignment="1">
      <alignment horizontal="right"/>
    </xf>
    <xf numFmtId="0" fontId="0" fillId="16" borderId="0" xfId="0" applyFill="1"/>
    <xf numFmtId="10" fontId="0" fillId="0" borderId="0" xfId="0" applyNumberFormat="1"/>
    <xf numFmtId="171" fontId="0" fillId="0" borderId="0" xfId="0" applyNumberFormat="1"/>
    <xf numFmtId="0" fontId="24" fillId="0" borderId="0" xfId="10"/>
    <xf numFmtId="0" fontId="17" fillId="3" borderId="0" xfId="0" applyFont="1" applyFill="1"/>
    <xf numFmtId="0" fontId="0" fillId="2" borderId="0" xfId="0" applyFill="1"/>
    <xf numFmtId="169" fontId="27" fillId="0" borderId="0" xfId="0" applyNumberFormat="1" applyFont="1"/>
    <xf numFmtId="0" fontId="29" fillId="0" borderId="0" xfId="0" applyFont="1"/>
    <xf numFmtId="0" fontId="0" fillId="0" borderId="8" xfId="0" applyBorder="1"/>
    <xf numFmtId="0" fontId="0" fillId="0" borderId="9" xfId="0" applyBorder="1"/>
    <xf numFmtId="0" fontId="0" fillId="0" borderId="11" xfId="0" applyBorder="1"/>
    <xf numFmtId="0" fontId="0" fillId="0" borderId="10" xfId="0" applyBorder="1"/>
    <xf numFmtId="0" fontId="0" fillId="0" borderId="12" xfId="0" applyBorder="1"/>
    <xf numFmtId="0" fontId="0" fillId="0" borderId="13" xfId="0" applyBorder="1"/>
    <xf numFmtId="173" fontId="0" fillId="0" borderId="0" xfId="0" applyNumberFormat="1"/>
    <xf numFmtId="0" fontId="12" fillId="16" borderId="0" xfId="0" applyFont="1" applyFill="1"/>
    <xf numFmtId="0" fontId="0" fillId="18" borderId="0" xfId="0" applyFill="1"/>
    <xf numFmtId="0" fontId="0" fillId="3" borderId="0" xfId="0" applyFill="1"/>
    <xf numFmtId="0" fontId="18" fillId="0" borderId="6" xfId="0" applyFont="1" applyBorder="1"/>
    <xf numFmtId="0" fontId="7" fillId="0" borderId="5" xfId="0" applyFont="1" applyBorder="1"/>
    <xf numFmtId="0" fontId="0" fillId="20" borderId="0" xfId="0" applyFill="1"/>
    <xf numFmtId="0" fontId="0" fillId="20" borderId="14" xfId="0" applyFill="1" applyBorder="1"/>
    <xf numFmtId="0" fontId="24" fillId="12" borderId="0" xfId="10" applyFill="1" applyAlignment="1">
      <alignment vertical="center"/>
    </xf>
    <xf numFmtId="0" fontId="32" fillId="18" borderId="0" xfId="0" applyFont="1" applyFill="1" applyAlignment="1">
      <alignment vertical="center"/>
    </xf>
    <xf numFmtId="0" fontId="6" fillId="12" borderId="0" xfId="0" applyFont="1" applyFill="1"/>
    <xf numFmtId="0" fontId="0" fillId="0" borderId="0" xfId="0" applyAlignment="1">
      <alignment horizontal="left"/>
    </xf>
    <xf numFmtId="172" fontId="0" fillId="0" borderId="0" xfId="0" applyNumberFormat="1"/>
    <xf numFmtId="10" fontId="0" fillId="0" borderId="0" xfId="0" applyNumberFormat="1" applyAlignment="1">
      <alignment horizontal="left"/>
    </xf>
    <xf numFmtId="9" fontId="0" fillId="0" borderId="0" xfId="0" applyNumberFormat="1" applyAlignment="1">
      <alignment horizontal="left"/>
    </xf>
    <xf numFmtId="0" fontId="36" fillId="0" borderId="0" xfId="0" applyFont="1" applyAlignment="1">
      <alignment wrapText="1"/>
    </xf>
    <xf numFmtId="0" fontId="19" fillId="12" borderId="0" xfId="3" applyFont="1" applyFill="1" applyAlignment="1">
      <alignment horizontal="right"/>
    </xf>
    <xf numFmtId="0" fontId="34" fillId="11" borderId="0" xfId="0" applyFont="1" applyFill="1"/>
    <xf numFmtId="1" fontId="12" fillId="3" borderId="0" xfId="15"/>
    <xf numFmtId="0" fontId="34" fillId="11" borderId="0" xfId="16"/>
    <xf numFmtId="0" fontId="0" fillId="21" borderId="0" xfId="0" applyFill="1"/>
    <xf numFmtId="0" fontId="20" fillId="14" borderId="0" xfId="17"/>
    <xf numFmtId="9" fontId="20" fillId="14" borderId="0" xfId="7" applyFont="1" applyFill="1"/>
    <xf numFmtId="0" fontId="12" fillId="0" borderId="0" xfId="2" applyFont="1" applyFill="1"/>
    <xf numFmtId="0" fontId="38" fillId="0" borderId="0" xfId="1" applyFont="1" applyFill="1"/>
    <xf numFmtId="0" fontId="39" fillId="19" borderId="4" xfId="14" applyAlignment="1">
      <alignment horizontal="center"/>
    </xf>
    <xf numFmtId="0" fontId="39" fillId="19" borderId="4" xfId="14"/>
    <xf numFmtId="0" fontId="0" fillId="9" borderId="0" xfId="0" applyFill="1"/>
    <xf numFmtId="0" fontId="1" fillId="9" borderId="0" xfId="0" applyFont="1" applyFill="1"/>
    <xf numFmtId="164" fontId="0" fillId="0" borderId="0" xfId="0" applyNumberFormat="1"/>
    <xf numFmtId="0" fontId="23" fillId="12" borderId="0" xfId="0" applyFont="1" applyFill="1"/>
    <xf numFmtId="0" fontId="14" fillId="12" borderId="0" xfId="0" applyFont="1" applyFill="1"/>
    <xf numFmtId="165" fontId="0" fillId="0" borderId="0" xfId="0" applyNumberFormat="1" applyAlignment="1">
      <alignment horizontal="center" vertical="center"/>
    </xf>
    <xf numFmtId="0" fontId="23" fillId="2" borderId="0" xfId="0" applyFont="1" applyFill="1"/>
    <xf numFmtId="0" fontId="1" fillId="16" borderId="0" xfId="0" applyFont="1" applyFill="1"/>
    <xf numFmtId="0" fontId="39" fillId="19" borderId="4" xfId="14" applyAlignment="1">
      <alignment horizontal="left"/>
    </xf>
    <xf numFmtId="1" fontId="38" fillId="16" borderId="0" xfId="7" applyNumberFormat="1" applyFont="1" applyFill="1"/>
    <xf numFmtId="9" fontId="38" fillId="16" borderId="0" xfId="0" applyNumberFormat="1" applyFont="1" applyFill="1"/>
    <xf numFmtId="0" fontId="33" fillId="0" borderId="0" xfId="0" quotePrefix="1" applyFont="1"/>
    <xf numFmtId="1" fontId="12" fillId="16" borderId="0" xfId="0" applyNumberFormat="1" applyFont="1" applyFill="1"/>
    <xf numFmtId="9" fontId="12" fillId="16" borderId="0" xfId="0" applyNumberFormat="1" applyFont="1" applyFill="1"/>
    <xf numFmtId="0" fontId="1" fillId="0" borderId="0" xfId="0" applyFont="1" applyAlignment="1">
      <alignment horizontal="center" vertical="center" wrapText="1"/>
    </xf>
    <xf numFmtId="0" fontId="0" fillId="0" borderId="0" xfId="0" applyAlignment="1">
      <alignment vertical="center" wrapText="1"/>
    </xf>
    <xf numFmtId="0" fontId="42" fillId="0" borderId="0" xfId="0" applyFont="1" applyAlignment="1">
      <alignment vertical="center" wrapText="1"/>
    </xf>
    <xf numFmtId="0" fontId="43" fillId="0" borderId="0" xfId="0" applyFont="1"/>
    <xf numFmtId="0" fontId="12" fillId="0" borderId="0" xfId="0" applyFont="1" applyAlignment="1">
      <alignment vertical="center" wrapText="1"/>
    </xf>
    <xf numFmtId="0" fontId="27" fillId="16" borderId="0" xfId="0" applyFont="1" applyFill="1"/>
    <xf numFmtId="0" fontId="27" fillId="16" borderId="0" xfId="0" applyFont="1" applyFill="1" applyAlignment="1">
      <alignment horizontal="left" vertical="center" indent="1"/>
    </xf>
    <xf numFmtId="165" fontId="27" fillId="16" borderId="0" xfId="0" applyNumberFormat="1" applyFont="1" applyFill="1" applyAlignment="1">
      <alignment horizontal="right" vertical="center" indent="1"/>
    </xf>
    <xf numFmtId="1" fontId="27" fillId="16" borderId="0" xfId="0" applyNumberFormat="1" applyFont="1" applyFill="1" applyAlignment="1">
      <alignment horizontal="right" vertical="center" indent="1"/>
    </xf>
    <xf numFmtId="49" fontId="27" fillId="16" borderId="0" xfId="0" applyNumberFormat="1" applyFont="1" applyFill="1" applyAlignment="1">
      <alignment horizontal="center" vertical="center"/>
    </xf>
    <xf numFmtId="164" fontId="27" fillId="16" borderId="0" xfId="0" applyNumberFormat="1" applyFont="1" applyFill="1" applyAlignment="1">
      <alignment horizontal="right" vertical="center" indent="1"/>
    </xf>
    <xf numFmtId="0" fontId="7" fillId="16" borderId="5" xfId="0" applyFont="1" applyFill="1" applyBorder="1"/>
    <xf numFmtId="14" fontId="20" fillId="14" borderId="0" xfId="17" applyNumberFormat="1"/>
    <xf numFmtId="0" fontId="34" fillId="11" borderId="0" xfId="16" applyAlignment="1">
      <alignment horizontal="left"/>
    </xf>
    <xf numFmtId="9" fontId="36" fillId="0" borderId="0" xfId="0" applyNumberFormat="1" applyFont="1"/>
    <xf numFmtId="0" fontId="37" fillId="0" borderId="15" xfId="9" applyBorder="1"/>
    <xf numFmtId="0" fontId="37" fillId="0" borderId="8" xfId="9" applyBorder="1"/>
    <xf numFmtId="0" fontId="0" fillId="0" borderId="16" xfId="0" applyBorder="1"/>
    <xf numFmtId="0" fontId="44" fillId="21" borderId="0" xfId="16" applyFont="1" applyFill="1" applyAlignment="1">
      <alignment horizontal="left"/>
    </xf>
    <xf numFmtId="0" fontId="34" fillId="21" borderId="0" xfId="16" applyFill="1"/>
    <xf numFmtId="0" fontId="12" fillId="21" borderId="0" xfId="0" applyFont="1" applyFill="1"/>
    <xf numFmtId="0" fontId="45" fillId="21" borderId="0" xfId="16" applyFont="1" applyFill="1" applyAlignment="1">
      <alignment horizontal="left"/>
    </xf>
    <xf numFmtId="0" fontId="46" fillId="0" borderId="0" xfId="10" applyFont="1"/>
    <xf numFmtId="0" fontId="17" fillId="0" borderId="0" xfId="0" applyFont="1" applyAlignment="1">
      <alignment vertical="center" wrapText="1"/>
    </xf>
    <xf numFmtId="0" fontId="17" fillId="0" borderId="0" xfId="0" applyFont="1" applyAlignment="1">
      <alignment vertical="center"/>
    </xf>
    <xf numFmtId="0" fontId="17" fillId="5" borderId="0" xfId="0" applyFont="1" applyFill="1"/>
    <xf numFmtId="0" fontId="44" fillId="11" borderId="0" xfId="16" applyFont="1"/>
    <xf numFmtId="0" fontId="24" fillId="3" borderId="0" xfId="10" applyFill="1" applyAlignment="1">
      <alignment vertical="center"/>
    </xf>
    <xf numFmtId="0" fontId="31" fillId="3" borderId="0" xfId="0" applyFont="1" applyFill="1"/>
    <xf numFmtId="0" fontId="31" fillId="3" borderId="0" xfId="0" applyFont="1" applyFill="1" applyAlignment="1">
      <alignment vertical="center"/>
    </xf>
    <xf numFmtId="0" fontId="47" fillId="22" borderId="7" xfId="18"/>
    <xf numFmtId="0" fontId="48" fillId="13" borderId="3" xfId="0" applyFont="1" applyFill="1" applyBorder="1"/>
    <xf numFmtId="0" fontId="48" fillId="0" borderId="0" xfId="0" applyFont="1"/>
    <xf numFmtId="0" fontId="48" fillId="13" borderId="0" xfId="0" applyFont="1" applyFill="1"/>
    <xf numFmtId="0" fontId="48" fillId="0" borderId="2" xfId="0" applyFont="1" applyBorder="1"/>
    <xf numFmtId="0" fontId="13" fillId="3" borderId="0" xfId="0" applyFont="1" applyFill="1"/>
    <xf numFmtId="0" fontId="49" fillId="3" borderId="0" xfId="0" applyFont="1" applyFill="1" applyAlignment="1">
      <alignment vertical="center"/>
    </xf>
    <xf numFmtId="168" fontId="12" fillId="0" borderId="0" xfId="0" applyNumberFormat="1" applyFont="1"/>
    <xf numFmtId="168" fontId="40" fillId="0" borderId="0" xfId="0" applyNumberFormat="1" applyFont="1"/>
    <xf numFmtId="168" fontId="41" fillId="0" borderId="0" xfId="0" applyNumberFormat="1" applyFont="1"/>
    <xf numFmtId="0" fontId="50" fillId="11" borderId="0" xfId="16" applyFont="1"/>
    <xf numFmtId="168" fontId="20" fillId="14" borderId="0" xfId="17" applyNumberFormat="1"/>
    <xf numFmtId="0" fontId="34" fillId="11" borderId="0" xfId="16" applyAlignment="1">
      <alignment horizontal="center"/>
    </xf>
    <xf numFmtId="0" fontId="16" fillId="12" borderId="0" xfId="4" applyNumberFormat="1" applyFill="1"/>
    <xf numFmtId="0" fontId="47" fillId="22" borderId="17" xfId="18" applyBorder="1"/>
    <xf numFmtId="0" fontId="14" fillId="23" borderId="0" xfId="19"/>
    <xf numFmtId="0" fontId="39" fillId="19" borderId="0" xfId="14" applyBorder="1"/>
    <xf numFmtId="0" fontId="17" fillId="0" borderId="0" xfId="0" applyFont="1" applyAlignment="1">
      <alignment wrapText="1"/>
    </xf>
    <xf numFmtId="0" fontId="51" fillId="0" borderId="0" xfId="0" applyFont="1"/>
    <xf numFmtId="0" fontId="27" fillId="3" borderId="0" xfId="0" applyFont="1" applyFill="1" applyAlignment="1">
      <alignment vertical="center"/>
    </xf>
    <xf numFmtId="0" fontId="44" fillId="21" borderId="0" xfId="16" applyFont="1" applyFill="1"/>
    <xf numFmtId="0" fontId="51" fillId="0" borderId="0" xfId="0" applyFont="1" applyAlignment="1">
      <alignment vertical="center" wrapText="1"/>
    </xf>
    <xf numFmtId="0" fontId="0" fillId="0" borderId="0" xfId="0" applyAlignment="1">
      <alignment vertical="center"/>
    </xf>
    <xf numFmtId="0" fontId="45" fillId="21" borderId="0" xfId="16" applyFont="1" applyFill="1"/>
    <xf numFmtId="0" fontId="52" fillId="0" borderId="0" xfId="0" applyFont="1"/>
    <xf numFmtId="0" fontId="53" fillId="0" borderId="0" xfId="0" applyFont="1" applyAlignment="1">
      <alignment vertical="center"/>
    </xf>
    <xf numFmtId="0" fontId="10" fillId="0" borderId="0" xfId="0" quotePrefix="1" applyFont="1"/>
    <xf numFmtId="0" fontId="0" fillId="0" borderId="18" xfId="0" applyBorder="1"/>
    <xf numFmtId="0" fontId="37" fillId="0" borderId="19" xfId="9" applyBorder="1"/>
    <xf numFmtId="0" fontId="7" fillId="0" borderId="19" xfId="0" applyFont="1" applyBorder="1"/>
    <xf numFmtId="0" fontId="7" fillId="0" borderId="20" xfId="0" applyFont="1" applyBorder="1"/>
    <xf numFmtId="0" fontId="0" fillId="0" borderId="21" xfId="0" applyBorder="1"/>
    <xf numFmtId="0" fontId="20" fillId="14" borderId="22" xfId="17" applyBorder="1"/>
    <xf numFmtId="0" fontId="7" fillId="0" borderId="22" xfId="0" applyFont="1" applyBorder="1"/>
    <xf numFmtId="0" fontId="0" fillId="0" borderId="21" xfId="0" quotePrefix="1" applyBorder="1"/>
    <xf numFmtId="0" fontId="10" fillId="0" borderId="21" xfId="0" quotePrefix="1" applyFont="1" applyBorder="1"/>
    <xf numFmtId="0" fontId="10" fillId="0" borderId="22" xfId="0" applyFont="1" applyBorder="1"/>
    <xf numFmtId="0" fontId="10" fillId="0" borderId="23" xfId="0" quotePrefix="1" applyFont="1" applyBorder="1"/>
    <xf numFmtId="0" fontId="10" fillId="0" borderId="24" xfId="0" applyFont="1" applyBorder="1"/>
    <xf numFmtId="0" fontId="10" fillId="0" borderId="25" xfId="0" applyFont="1" applyBorder="1"/>
    <xf numFmtId="0" fontId="0" fillId="0" borderId="23" xfId="0" applyBorder="1"/>
    <xf numFmtId="0" fontId="7" fillId="0" borderId="24" xfId="0" applyFont="1" applyBorder="1"/>
    <xf numFmtId="0" fontId="7" fillId="0" borderId="25" xfId="0" applyFont="1" applyBorder="1"/>
    <xf numFmtId="0" fontId="37" fillId="0" borderId="20" xfId="9" applyBorder="1"/>
    <xf numFmtId="0" fontId="20" fillId="14" borderId="24" xfId="17" applyBorder="1"/>
    <xf numFmtId="0" fontId="7" fillId="16" borderId="26" xfId="0" applyFont="1" applyFill="1" applyBorder="1"/>
    <xf numFmtId="0" fontId="7" fillId="16" borderId="19" xfId="0" applyFont="1" applyFill="1" applyBorder="1"/>
    <xf numFmtId="0" fontId="7" fillId="16" borderId="20" xfId="0" applyFont="1" applyFill="1" applyBorder="1"/>
    <xf numFmtId="0" fontId="7" fillId="16" borderId="0" xfId="0" applyFont="1" applyFill="1"/>
    <xf numFmtId="0" fontId="7" fillId="16" borderId="22" xfId="0" applyFont="1" applyFill="1" applyBorder="1"/>
    <xf numFmtId="0" fontId="7" fillId="0" borderId="27" xfId="0" applyFont="1" applyBorder="1"/>
    <xf numFmtId="0" fontId="37" fillId="0" borderId="24" xfId="9" applyBorder="1"/>
    <xf numFmtId="0" fontId="0" fillId="12" borderId="0" xfId="0" applyFill="1"/>
    <xf numFmtId="0" fontId="0" fillId="0" borderId="22" xfId="0" applyBorder="1"/>
    <xf numFmtId="0" fontId="0" fillId="0" borderId="24" xfId="0" applyBorder="1"/>
    <xf numFmtId="0" fontId="0" fillId="0" borderId="25" xfId="0" applyBorder="1"/>
    <xf numFmtId="0" fontId="37" fillId="0" borderId="28" xfId="9" applyBorder="1"/>
    <xf numFmtId="0" fontId="0" fillId="0" borderId="29" xfId="0" applyBorder="1"/>
    <xf numFmtId="0" fontId="0" fillId="0" borderId="30" xfId="0" applyBorder="1"/>
    <xf numFmtId="1" fontId="12" fillId="3" borderId="31" xfId="0" applyNumberFormat="1" applyFont="1" applyFill="1" applyBorder="1"/>
    <xf numFmtId="1" fontId="12" fillId="3" borderId="32" xfId="0" applyNumberFormat="1" applyFont="1" applyFill="1" applyBorder="1"/>
    <xf numFmtId="1" fontId="12" fillId="3" borderId="33" xfId="0" applyNumberFormat="1" applyFont="1" applyFill="1" applyBorder="1"/>
    <xf numFmtId="1" fontId="12" fillId="3" borderId="34" xfId="0" applyNumberFormat="1" applyFont="1" applyFill="1" applyBorder="1"/>
    <xf numFmtId="1" fontId="12" fillId="3" borderId="35" xfId="0" applyNumberFormat="1" applyFont="1" applyFill="1" applyBorder="1"/>
    <xf numFmtId="0" fontId="37" fillId="0" borderId="36" xfId="9" applyBorder="1" applyAlignment="1">
      <alignment horizontal="left"/>
    </xf>
    <xf numFmtId="14" fontId="20" fillId="14" borderId="28" xfId="17" applyNumberFormat="1" applyBorder="1"/>
    <xf numFmtId="14" fontId="20" fillId="14" borderId="29" xfId="17" applyNumberFormat="1" applyBorder="1"/>
    <xf numFmtId="14" fontId="20" fillId="14" borderId="30" xfId="17" applyNumberFormat="1" applyBorder="1"/>
    <xf numFmtId="14" fontId="20" fillId="14" borderId="37" xfId="17" applyNumberFormat="1" applyBorder="1"/>
    <xf numFmtId="14" fontId="20" fillId="14" borderId="38" xfId="17" applyNumberFormat="1" applyBorder="1"/>
    <xf numFmtId="14" fontId="20" fillId="14" borderId="31" xfId="17" applyNumberFormat="1" applyBorder="1"/>
    <xf numFmtId="14" fontId="20" fillId="14" borderId="32" xfId="17" applyNumberFormat="1" applyBorder="1"/>
    <xf numFmtId="14" fontId="20" fillId="14" borderId="33" xfId="17" applyNumberFormat="1" applyBorder="1"/>
    <xf numFmtId="0" fontId="35" fillId="0" borderId="0" xfId="0" applyFont="1"/>
    <xf numFmtId="10" fontId="39" fillId="19" borderId="4" xfId="14" applyNumberFormat="1" applyAlignment="1">
      <alignment horizontal="left"/>
    </xf>
    <xf numFmtId="14" fontId="10" fillId="15" borderId="0" xfId="0" applyNumberFormat="1" applyFont="1" applyFill="1"/>
    <xf numFmtId="0" fontId="10" fillId="15" borderId="0" xfId="0" applyFont="1" applyFill="1" applyAlignment="1">
      <alignment horizontal="center"/>
    </xf>
    <xf numFmtId="0" fontId="10" fillId="15" borderId="0" xfId="0" applyFont="1" applyFill="1"/>
    <xf numFmtId="0" fontId="0" fillId="10" borderId="0" xfId="0" applyFill="1"/>
    <xf numFmtId="14" fontId="10" fillId="0" borderId="0" xfId="0" applyNumberFormat="1" applyFont="1"/>
    <xf numFmtId="0" fontId="10" fillId="0" borderId="0" xfId="0" applyFont="1" applyAlignment="1">
      <alignment horizontal="center"/>
    </xf>
    <xf numFmtId="0" fontId="34" fillId="11" borderId="18" xfId="0" applyFont="1" applyFill="1" applyBorder="1"/>
    <xf numFmtId="0" fontId="34" fillId="11" borderId="19" xfId="0" applyFont="1" applyFill="1" applyBorder="1"/>
    <xf numFmtId="0" fontId="0" fillId="11" borderId="19" xfId="0" applyFill="1" applyBorder="1"/>
    <xf numFmtId="0" fontId="0" fillId="11" borderId="20" xfId="0" applyFill="1" applyBorder="1"/>
    <xf numFmtId="0" fontId="54" fillId="12" borderId="0" xfId="0" applyFont="1" applyFill="1"/>
    <xf numFmtId="168" fontId="39" fillId="19" borderId="4" xfId="14" applyNumberFormat="1"/>
    <xf numFmtId="10" fontId="12" fillId="3" borderId="0" xfId="7" applyNumberFormat="1" applyFont="1" applyFill="1" applyAlignment="1">
      <alignment horizontal="center"/>
    </xf>
    <xf numFmtId="170" fontId="0" fillId="16" borderId="0" xfId="0" applyNumberFormat="1" applyFill="1"/>
    <xf numFmtId="0" fontId="55" fillId="0" borderId="0" xfId="0" applyFont="1"/>
    <xf numFmtId="170" fontId="0" fillId="16" borderId="0" xfId="7" applyNumberFormat="1" applyFont="1" applyFill="1"/>
    <xf numFmtId="0" fontId="56" fillId="0" borderId="0" xfId="0" applyFont="1" applyAlignment="1">
      <alignment wrapText="1"/>
    </xf>
    <xf numFmtId="9" fontId="12" fillId="0" borderId="0" xfId="7" applyFont="1"/>
    <xf numFmtId="9" fontId="12" fillId="0" borderId="0" xfId="0" applyNumberFormat="1" applyFont="1"/>
    <xf numFmtId="168" fontId="12" fillId="0" borderId="0" xfId="6" applyNumberFormat="1" applyFont="1"/>
    <xf numFmtId="0" fontId="10" fillId="10" borderId="0" xfId="0" applyFont="1" applyFill="1"/>
    <xf numFmtId="168" fontId="0" fillId="10" borderId="0" xfId="7" applyNumberFormat="1" applyFont="1" applyFill="1"/>
    <xf numFmtId="0" fontId="10" fillId="24" borderId="0" xfId="0" applyFont="1" applyFill="1"/>
    <xf numFmtId="171" fontId="0" fillId="24" borderId="0" xfId="7" applyNumberFormat="1" applyFont="1" applyFill="1"/>
    <xf numFmtId="0" fontId="10" fillId="22" borderId="0" xfId="0" applyFont="1" applyFill="1"/>
    <xf numFmtId="0" fontId="0" fillId="22" borderId="0" xfId="0" applyFill="1"/>
    <xf numFmtId="171" fontId="0" fillId="22" borderId="0" xfId="7" applyNumberFormat="1" applyFont="1" applyFill="1"/>
    <xf numFmtId="171" fontId="0" fillId="22" borderId="0" xfId="0" applyNumberFormat="1" applyFill="1"/>
    <xf numFmtId="9" fontId="0" fillId="22" borderId="0" xfId="7" applyFont="1" applyFill="1"/>
    <xf numFmtId="0" fontId="7" fillId="21" borderId="0" xfId="0" applyFont="1" applyFill="1"/>
    <xf numFmtId="0" fontId="57" fillId="14" borderId="0" xfId="8" applyFont="1" applyFill="1"/>
    <xf numFmtId="0" fontId="58" fillId="25" borderId="39" xfId="0" applyFont="1" applyFill="1" applyBorder="1" applyAlignment="1">
      <alignment horizontal="center" vertical="center" wrapText="1"/>
    </xf>
    <xf numFmtId="0" fontId="53" fillId="0" borderId="39" xfId="0" applyFont="1" applyBorder="1" applyAlignment="1">
      <alignment vertical="center" wrapText="1"/>
    </xf>
    <xf numFmtId="0" fontId="59" fillId="0" borderId="0" xfId="10" applyFont="1" applyAlignment="1">
      <alignment vertical="center"/>
    </xf>
    <xf numFmtId="0" fontId="48" fillId="0" borderId="39" xfId="10" applyFont="1" applyBorder="1" applyAlignment="1">
      <alignment vertical="center"/>
    </xf>
    <xf numFmtId="0" fontId="0" fillId="0" borderId="0" xfId="0" quotePrefix="1"/>
    <xf numFmtId="0" fontId="21" fillId="18" borderId="0" xfId="0" applyFont="1" applyFill="1" applyAlignment="1">
      <alignment horizontal="left" vertical="center" wrapText="1"/>
    </xf>
    <xf numFmtId="0" fontId="12" fillId="0" borderId="0" xfId="0" applyFont="1" applyAlignment="1">
      <alignment horizontal="center" vertical="center"/>
    </xf>
    <xf numFmtId="0" fontId="10" fillId="0" borderId="0" xfId="0" applyFont="1" applyAlignment="1">
      <alignment horizontal="left" wrapText="1"/>
    </xf>
    <xf numFmtId="0" fontId="17" fillId="3" borderId="0" xfId="0" applyFont="1" applyFill="1" applyAlignment="1">
      <alignment horizontal="left" wrapText="1"/>
    </xf>
    <xf numFmtId="0" fontId="0" fillId="3" borderId="0" xfId="0" applyFill="1" applyAlignment="1">
      <alignment horizontal="left" vertical="top" wrapText="1"/>
    </xf>
    <xf numFmtId="0" fontId="12" fillId="3" borderId="0" xfId="0" applyFont="1" applyFill="1" applyAlignment="1">
      <alignment horizontal="left" vertical="top" wrapText="1"/>
    </xf>
    <xf numFmtId="0" fontId="27" fillId="3" borderId="0" xfId="0" applyFont="1" applyFill="1" applyAlignment="1">
      <alignment horizontal="left" vertical="center" wrapText="1"/>
    </xf>
  </cellXfs>
  <cellStyles count="20">
    <cellStyle name="60 % - Accent4" xfId="2" builtinId="44"/>
    <cellStyle name="60 % - Accent5" xfId="3" builtinId="48"/>
    <cellStyle name="Accent4" xfId="19" builtinId="41"/>
    <cellStyle name="Entrée" xfId="14" builtinId="20" customBuiltin="1"/>
    <cellStyle name="HeaderCol" xfId="18" xr:uid="{36C88C07-F331-4E8B-8A7F-AA04464668F3}"/>
    <cellStyle name="Highlight_formula" xfId="9" xr:uid="{5A22CBBA-E1DB-492D-B5DD-755AC33EA083}"/>
    <cellStyle name="Lien hypertexte" xfId="10" builtinId="8"/>
    <cellStyle name="Main_title" xfId="8" xr:uid="{A9389629-24E1-462C-B4A5-0E5FE646DF42}"/>
    <cellStyle name="Milliers" xfId="6" builtinId="3"/>
    <cellStyle name="Milliers 2" xfId="5" xr:uid="{7A5A369A-1614-4AF0-AC68-12C54D77DF47}"/>
    <cellStyle name="Monétaire 2" xfId="13" xr:uid="{2F0C3454-CB0D-4039-B449-B4E2DC17EF33}"/>
    <cellStyle name="Neutre" xfId="1" builtinId="28"/>
    <cellStyle name="Normal" xfId="0" builtinId="0"/>
    <cellStyle name="Normal 2" xfId="12" xr:uid="{AE1480D9-0940-4DCE-A403-141A10730EFC}"/>
    <cellStyle name="Pourcentage" xfId="7" builtinId="5"/>
    <cellStyle name="Resultat" xfId="17" xr:uid="{7BA4D26E-D74D-4EB8-AE39-ED9D2C88A377}"/>
    <cellStyle name="titre_lignecol" xfId="15" xr:uid="{005A13D0-58E6-4BC3-9ACF-0216F8E48C9B}"/>
    <cellStyle name="TitreH1" xfId="16" xr:uid="{9B5D6A74-3C5F-4962-9935-FDE642A9E103}"/>
    <cellStyle name="TitreTBL" xfId="4" xr:uid="{6930FE3F-FABF-4BB0-A39B-FD6E0B597413}"/>
    <cellStyle name="Yellow" xfId="11" xr:uid="{E4BB24CE-A7AC-4D50-8404-6400C3ABCE0E}"/>
  </cellStyles>
  <dxfs count="42">
    <dxf>
      <fill>
        <patternFill>
          <bgColor theme="7" tint="0.79998168889431442"/>
        </patternFill>
      </fill>
    </dxf>
    <dxf>
      <font>
        <color rgb="FF9C5700"/>
      </font>
      <fill>
        <patternFill>
          <bgColor rgb="FFFFEB9C"/>
        </patternFill>
      </fill>
    </dxf>
    <dxf>
      <fill>
        <patternFill>
          <bgColor theme="7" tint="0.79998168889431442"/>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4" tint="0.39994506668294322"/>
        </patternFill>
      </fill>
    </dxf>
    <dxf>
      <fill>
        <patternFill>
          <bgColor theme="5" tint="0.39994506668294322"/>
        </patternFill>
      </fill>
    </dxf>
    <dxf>
      <fill>
        <patternFill>
          <bgColor theme="5" tint="0.79998168889431442"/>
        </patternFill>
      </fill>
    </dxf>
    <dxf>
      <font>
        <b val="0"/>
        <i val="0"/>
        <strike val="0"/>
        <condense val="0"/>
        <extend val="0"/>
        <outline val="0"/>
        <shadow val="0"/>
        <u val="none"/>
        <vertAlign val="baseline"/>
        <sz val="14"/>
        <color theme="1"/>
        <name val="Calibri"/>
        <family val="2"/>
        <scheme val="minor"/>
      </font>
      <numFmt numFmtId="13" formatCode="0%"/>
      <fill>
        <patternFill patternType="solid">
          <fgColor indexed="64"/>
          <bgColor theme="0" tint="-4.9989318521683403E-2"/>
        </patternFill>
      </fill>
    </dxf>
    <dxf>
      <font>
        <b val="0"/>
        <i val="0"/>
        <strike val="0"/>
        <condense val="0"/>
        <extend val="0"/>
        <outline val="0"/>
        <shadow val="0"/>
        <u val="none"/>
        <vertAlign val="baseline"/>
        <sz val="14"/>
        <color theme="1"/>
        <name val="Calibri"/>
        <family val="2"/>
        <scheme val="minor"/>
      </font>
      <numFmt numFmtId="13" formatCode="0%"/>
      <fill>
        <patternFill patternType="solid">
          <fgColor indexed="64"/>
          <bgColor theme="0" tint="-4.9989318521683403E-2"/>
        </patternFill>
      </fill>
    </dxf>
    <dxf>
      <font>
        <b val="0"/>
        <i val="0"/>
        <strike val="0"/>
        <condense val="0"/>
        <extend val="0"/>
        <outline val="0"/>
        <shadow val="0"/>
        <u val="none"/>
        <vertAlign val="baseline"/>
        <sz val="14"/>
        <color theme="1"/>
        <name val="Calibri"/>
        <family val="2"/>
        <scheme val="minor"/>
      </font>
      <numFmt numFmtId="1" formatCode="0"/>
      <fill>
        <patternFill patternType="solid">
          <fgColor indexed="64"/>
          <bgColor theme="0" tint="-4.9989318521683403E-2"/>
        </patternFill>
      </fill>
    </dxf>
    <dxf>
      <font>
        <b val="0"/>
        <i val="0"/>
        <strike val="0"/>
        <condense val="0"/>
        <extend val="0"/>
        <outline val="0"/>
        <shadow val="0"/>
        <u val="none"/>
        <vertAlign val="baseline"/>
        <sz val="14"/>
        <color theme="1"/>
        <name val="Calibri"/>
        <family val="2"/>
        <scheme val="minor"/>
      </font>
      <fill>
        <patternFill patternType="solid">
          <fgColor indexed="64"/>
          <bgColor theme="0" tint="-4.9989318521683403E-2"/>
        </patternFill>
      </fill>
    </dxf>
    <dxf>
      <font>
        <b val="0"/>
        <strike val="0"/>
        <outline val="0"/>
        <shadow val="0"/>
        <u val="none"/>
        <vertAlign val="baseline"/>
        <sz val="14"/>
        <color theme="1"/>
        <name val="Calibri"/>
        <family val="2"/>
        <scheme val="minor"/>
      </font>
      <numFmt numFmtId="168" formatCode="_-* #,##0\ [$CHF-100C]_-;\-* #,##0\ [$CHF-100C]_-;_-* &quot;-&quot;??\ [$CHF-100C]_-;_-@_-"/>
    </dxf>
    <dxf>
      <font>
        <b/>
        <strike val="0"/>
        <outline val="0"/>
        <shadow val="0"/>
        <u val="none"/>
        <vertAlign val="baseline"/>
        <sz val="14"/>
        <color theme="5" tint="-0.249977111117893"/>
        <name val="Calibri"/>
        <family val="2"/>
        <scheme val="minor"/>
      </font>
      <numFmt numFmtId="168" formatCode="_-* #,##0\ [$CHF-100C]_-;\-* #,##0\ [$CHF-100C]_-;_-* &quot;-&quot;??\ [$CHF-100C]_-;_-@_-"/>
    </dxf>
    <dxf>
      <font>
        <b val="0"/>
        <strike val="0"/>
        <outline val="0"/>
        <shadow val="0"/>
        <u val="none"/>
        <vertAlign val="baseline"/>
        <sz val="14"/>
        <color theme="1"/>
        <name val="Calibri"/>
        <family val="2"/>
        <scheme val="minor"/>
      </font>
      <numFmt numFmtId="168" formatCode="_-* #,##0\ [$CHF-100C]_-;\-* #,##0\ [$CHF-100C]_-;_-* &quot;-&quot;??\ [$CHF-100C]_-;_-@_-"/>
    </dxf>
    <dxf>
      <font>
        <b/>
        <strike val="0"/>
        <outline val="0"/>
        <shadow val="0"/>
        <u val="none"/>
        <vertAlign val="baseline"/>
        <sz val="14"/>
        <color theme="1" tint="0.39997558519241921"/>
        <name val="Calibri"/>
        <family val="2"/>
        <scheme val="minor"/>
      </font>
      <numFmt numFmtId="168" formatCode="_-* #,##0\ [$CHF-100C]_-;\-* #,##0\ [$CHF-100C]_-;_-* &quot;-&quot;??\ [$CHF-100C]_-;_-@_-"/>
    </dxf>
    <dxf>
      <font>
        <b val="0"/>
        <strike val="0"/>
        <outline val="0"/>
        <shadow val="0"/>
        <u val="none"/>
        <vertAlign val="baseline"/>
        <sz val="14"/>
        <color theme="1"/>
        <name val="Calibri"/>
        <family val="2"/>
        <scheme val="minor"/>
      </font>
      <numFmt numFmtId="168" formatCode="_-* #,##0\ [$CHF-100C]_-;\-* #,##0\ [$CHF-100C]_-;_-* &quot;-&quot;??\ [$CHF-100C]_-;_-@_-"/>
    </dxf>
    <dxf>
      <font>
        <b/>
        <strike val="0"/>
        <outline val="0"/>
        <shadow val="0"/>
        <u val="none"/>
        <vertAlign val="baseline"/>
        <sz val="14"/>
        <color theme="1"/>
        <name val="Calibri"/>
        <family val="2"/>
        <scheme val="minor"/>
      </font>
    </dxf>
    <dxf>
      <font>
        <b val="0"/>
        <strike val="0"/>
        <outline val="0"/>
        <shadow val="0"/>
        <u val="none"/>
        <vertAlign val="baseline"/>
        <sz val="14"/>
        <color theme="1"/>
        <name val="Calibri"/>
        <family val="2"/>
        <scheme val="minor"/>
      </font>
    </dxf>
    <dxf>
      <border outline="0">
        <left style="thick">
          <color theme="4"/>
        </left>
        <right style="thick">
          <color theme="4"/>
        </right>
        <top style="thick">
          <color theme="4"/>
        </top>
        <bottom style="thick">
          <color theme="4"/>
        </bottom>
      </border>
    </dxf>
    <dxf>
      <font>
        <b val="0"/>
        <strike val="0"/>
        <outline val="0"/>
        <shadow val="0"/>
        <u val="none"/>
        <vertAlign val="baseline"/>
        <sz val="14"/>
        <color theme="1"/>
        <name val="Calibri"/>
        <family val="2"/>
        <scheme val="minor"/>
      </font>
    </dxf>
    <dxf>
      <font>
        <b val="0"/>
        <i val="0"/>
        <strike val="0"/>
        <condense val="0"/>
        <extend val="0"/>
        <outline val="0"/>
        <shadow val="0"/>
        <u val="none"/>
        <vertAlign val="baseline"/>
        <sz val="12"/>
        <color theme="1"/>
        <name val="Calibri"/>
        <family val="2"/>
        <scheme val="minor"/>
      </font>
      <numFmt numFmtId="165" formatCode="#,##0.00\ &quot;CHF&quot;;[Red]\-#,##0.00\ &quot;CHF&quot;"/>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numFmt numFmtId="165" formatCode="#,##0.00\ &quot;CHF&quot;;[Red]\-#,##0.00\ &quot;CHF&quot;"/>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numFmt numFmtId="30" formatCode="@"/>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 formatCode="0"/>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numFmt numFmtId="164" formatCode="#,##0\ &quot;CHF&quot;;[Red]\-#,##0\ &quot;CHF&quot;"/>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alignment horizontal="lef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dxf>
    <dxf>
      <border outline="0">
        <bottom style="thin">
          <color indexed="64"/>
        </bottom>
      </border>
    </dxf>
    <dxf>
      <border outline="0">
        <top style="thin">
          <color indexed="64"/>
        </top>
      </border>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alignment horizontal="right" vertical="center" textRotation="0" wrapText="0" indent="1" justifyLastLine="0" shrinkToFit="0" readingOrder="0"/>
    </dxf>
    <dxf>
      <border diagonalUp="0" diagonalDown="0" outline="0">
        <left style="thin">
          <color indexed="64"/>
        </left>
        <right style="thin">
          <color indexed="64"/>
        </right>
        <top/>
        <bottom/>
      </border>
    </dxf>
    <dxf>
      <fill>
        <patternFill>
          <bgColor theme="5" tint="0.79998168889431442"/>
        </patternFill>
      </fill>
    </dxf>
    <dxf>
      <fill>
        <patternFill>
          <bgColor theme="5" tint="0.79998168889431442"/>
        </patternFill>
      </fill>
    </dxf>
    <dxf>
      <font>
        <strike val="0"/>
        <outline val="0"/>
        <shadow val="0"/>
        <u val="none"/>
        <vertAlign val="baseline"/>
        <sz val="16"/>
        <color theme="1"/>
        <name val="Calibri"/>
        <family val="2"/>
        <scheme val="minor"/>
      </font>
      <alignment horizontal="general" textRotation="0" wrapText="0" indent="0" justifyLastLine="0" shrinkToFit="0" readingOrder="0"/>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s>
  <tableStyles count="0" defaultTableStyle="TableStyleMedium2" defaultPivotStyle="PivotStyleLight16"/>
  <colors>
    <mruColors>
      <color rgb="FF7E0000"/>
      <color rgb="FF385723"/>
      <color rgb="FFFF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RichValueTypes" Target="richData/rdRichValueTypes.xml"/><Relationship Id="rId27" Type="http://schemas.openxmlformats.org/officeDocument/2006/relationships/customXml" Target="../customXml/item4.xml"/></Relationships>
</file>

<file path=xl/ctrlProps/ctrlProp1.xml><?xml version="1.0" encoding="utf-8"?>
<formControlPr xmlns="http://schemas.microsoft.com/office/spreadsheetml/2009/9/main" objectType="Radio" checked="Checked" firstButton="1" fmlaLink="TRAD!$C$4"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Drop" dropLines="2" dropStyle="combo" dx="22" fmlaLink="TRAD!$C$4" fmlaRange="TRAD!$C$7:$C$8" noThreeD="1" sel="1" val="0"/>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8.sv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533400</xdr:colOff>
          <xdr:row>0</xdr:row>
          <xdr:rowOff>161925</xdr:rowOff>
        </xdr:from>
        <xdr:to>
          <xdr:col>1</xdr:col>
          <xdr:colOff>1638300</xdr:colOff>
          <xdr:row>3</xdr:row>
          <xdr:rowOff>142875</xdr:rowOff>
        </xdr:to>
        <xdr:sp macro="" textlink="">
          <xdr:nvSpPr>
            <xdr:cNvPr id="47105" name="Option Button 1" hidden="1">
              <a:extLst>
                <a:ext uri="{63B3BB69-23CF-44E3-9099-C40C66FF867C}">
                  <a14:compatExt spid="_x0000_s47105"/>
                </a:ext>
                <a:ext uri="{FF2B5EF4-FFF2-40B4-BE49-F238E27FC236}">
                  <a16:creationId xmlns:a16="http://schemas.microsoft.com/office/drawing/2014/main" id="{00000000-0008-0000-0100-000001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533400</xdr:colOff>
          <xdr:row>3</xdr:row>
          <xdr:rowOff>114300</xdr:rowOff>
        </xdr:from>
        <xdr:to>
          <xdr:col>1</xdr:col>
          <xdr:colOff>1333500</xdr:colOff>
          <xdr:row>5</xdr:row>
          <xdr:rowOff>123825</xdr:rowOff>
        </xdr:to>
        <xdr:sp macro="" textlink="">
          <xdr:nvSpPr>
            <xdr:cNvPr id="47106" name="Option Button 2" hidden="1">
              <a:extLst>
                <a:ext uri="{63B3BB69-23CF-44E3-9099-C40C66FF867C}">
                  <a14:compatExt spid="_x0000_s47106"/>
                </a:ext>
                <a:ext uri="{FF2B5EF4-FFF2-40B4-BE49-F238E27FC236}">
                  <a16:creationId xmlns:a16="http://schemas.microsoft.com/office/drawing/2014/main" id="{00000000-0008-0000-0100-000002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6</xdr:col>
      <xdr:colOff>280220</xdr:colOff>
      <xdr:row>2</xdr:row>
      <xdr:rowOff>137139</xdr:rowOff>
    </xdr:from>
    <xdr:to>
      <xdr:col>9</xdr:col>
      <xdr:colOff>367199</xdr:colOff>
      <xdr:row>2</xdr:row>
      <xdr:rowOff>593791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5776145" y="565764"/>
          <a:ext cx="1915779" cy="456652"/>
        </a:xfrm>
        <a:prstGeom prst="rect">
          <a:avLst/>
        </a:prstGeom>
      </xdr:spPr>
    </xdr:pic>
    <xdr:clientData/>
  </xdr:twoCellAnchor>
  <xdr:twoCellAnchor>
    <xdr:from>
      <xdr:col>7</xdr:col>
      <xdr:colOff>390524</xdr:colOff>
      <xdr:row>4</xdr:row>
      <xdr:rowOff>18859</xdr:rowOff>
    </xdr:from>
    <xdr:to>
      <xdr:col>9</xdr:col>
      <xdr:colOff>400050</xdr:colOff>
      <xdr:row>7</xdr:row>
      <xdr:rowOff>66675</xdr:rowOff>
    </xdr:to>
    <xdr:grpSp>
      <xdr:nvGrpSpPr>
        <xdr:cNvPr id="14" name="Group 13">
          <a:extLst>
            <a:ext uri="{FF2B5EF4-FFF2-40B4-BE49-F238E27FC236}">
              <a16:creationId xmlns:a16="http://schemas.microsoft.com/office/drawing/2014/main" id="{00000000-0008-0000-0000-00000E000000}"/>
            </a:ext>
          </a:extLst>
        </xdr:cNvPr>
        <xdr:cNvGrpSpPr/>
      </xdr:nvGrpSpPr>
      <xdr:grpSpPr>
        <a:xfrm>
          <a:off x="6496049" y="1333309"/>
          <a:ext cx="1228726" cy="1333691"/>
          <a:chOff x="4117732" y="1482606"/>
          <a:chExt cx="1367936" cy="1572721"/>
        </a:xfrm>
      </xdr:grpSpPr>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03473" y="1941635"/>
            <a:ext cx="1196467" cy="1113692"/>
          </a:xfrm>
          <a:prstGeom prst="rect">
            <a:avLst/>
          </a:prstGeom>
          <a:extLst>
            <a:ext uri="{909E8E84-426E-40DD-AFC4-6F175D3DCCD1}">
              <a14:hiddenFill xmlns:a14="http://schemas.microsoft.com/office/drawing/2010/main">
                <a:solidFill>
                  <a:srgbClr val="FFFFFF"/>
                </a:solidFill>
              </a14:hiddenFill>
            </a:ext>
          </a:extLst>
        </xdr:spPr>
      </xdr:pic>
      <xdr:pic>
        <xdr:nvPicPr>
          <xdr:cNvPr id="13" name="Picture 12" descr="Download Office 365 Logo in SVG Vector or PNG File Format - Logo.wine">
            <a:extLst>
              <a:ext uri="{FF2B5EF4-FFF2-40B4-BE49-F238E27FC236}">
                <a16:creationId xmlns:a16="http://schemas.microsoft.com/office/drawing/2014/main" id="{00000000-0008-0000-0000-00000D00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8415" b="33880"/>
          <a:stretch/>
        </xdr:blipFill>
        <xdr:spPr bwMode="auto">
          <a:xfrm>
            <a:off x="4117732" y="1482606"/>
            <a:ext cx="1367936" cy="343997"/>
          </a:xfrm>
          <a:prstGeom prst="rect">
            <a:avLst/>
          </a:prstGeom>
          <a:extLst>
            <a:ext uri="{909E8E84-426E-40DD-AFC4-6F175D3DCCD1}">
              <a14:hiddenFill xmlns:a14="http://schemas.microsoft.com/office/drawing/2010/main">
                <a:solidFill>
                  <a:srgbClr val="FFFFFF"/>
                </a:solidFill>
              </a14:hiddenFill>
            </a:ext>
          </a:extLst>
        </xdr:spPr>
      </xdr:pic>
    </xdr:grpSp>
    <xdr:clientData/>
  </xdr:twoCellAnchor>
  <mc:AlternateContent xmlns:mc="http://schemas.openxmlformats.org/markup-compatibility/2006">
    <mc:Choice xmlns:a14="http://schemas.microsoft.com/office/drawing/2010/main" Requires="a14">
      <xdr:twoCellAnchor editAs="oneCell">
        <xdr:from>
          <xdr:col>1</xdr:col>
          <xdr:colOff>47625</xdr:colOff>
          <xdr:row>0</xdr:row>
          <xdr:rowOff>47625</xdr:rowOff>
        </xdr:from>
        <xdr:to>
          <xdr:col>1</xdr:col>
          <xdr:colOff>1714500</xdr:colOff>
          <xdr:row>1</xdr:row>
          <xdr:rowOff>142875</xdr:rowOff>
        </xdr:to>
        <xdr:sp macro="" textlink="">
          <xdr:nvSpPr>
            <xdr:cNvPr id="18441" name="Drop Down 9" hidden="1">
              <a:extLst>
                <a:ext uri="{63B3BB69-23CF-44E3-9099-C40C66FF867C}">
                  <a14:compatExt spid="_x0000_s18441"/>
                </a:ext>
                <a:ext uri="{FF2B5EF4-FFF2-40B4-BE49-F238E27FC236}">
                  <a16:creationId xmlns:a16="http://schemas.microsoft.com/office/drawing/2014/main" id="{00000000-0008-0000-0200-0000094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14</xdr:col>
      <xdr:colOff>333375</xdr:colOff>
      <xdr:row>4</xdr:row>
      <xdr:rowOff>133350</xdr:rowOff>
    </xdr:from>
    <xdr:to>
      <xdr:col>17</xdr:col>
      <xdr:colOff>704850</xdr:colOff>
      <xdr:row>6</xdr:row>
      <xdr:rowOff>407876</xdr:rowOff>
    </xdr:to>
    <xdr:grpSp>
      <xdr:nvGrpSpPr>
        <xdr:cNvPr id="7" name="Groupe 6">
          <a:extLst>
            <a:ext uri="{FF2B5EF4-FFF2-40B4-BE49-F238E27FC236}">
              <a16:creationId xmlns:a16="http://schemas.microsoft.com/office/drawing/2014/main" id="{ED50B822-DB53-570A-C2DB-7FCDFA40132C}"/>
            </a:ext>
          </a:extLst>
        </xdr:cNvPr>
        <xdr:cNvGrpSpPr/>
      </xdr:nvGrpSpPr>
      <xdr:grpSpPr>
        <a:xfrm>
          <a:off x="20593050" y="1809750"/>
          <a:ext cx="2886075" cy="665051"/>
          <a:chOff x="8801100" y="2752725"/>
          <a:chExt cx="2886075" cy="2179526"/>
        </a:xfrm>
      </xdr:grpSpPr>
      <xdr:sp macro="" textlink="">
        <xdr:nvSpPr>
          <xdr:cNvPr id="6" name="ZoneTexte 5">
            <a:extLst>
              <a:ext uri="{FF2B5EF4-FFF2-40B4-BE49-F238E27FC236}">
                <a16:creationId xmlns:a16="http://schemas.microsoft.com/office/drawing/2014/main" id="{00000000-0008-0000-0100-000006000000}"/>
              </a:ext>
            </a:extLst>
          </xdr:cNvPr>
          <xdr:cNvSpPr txBox="1"/>
        </xdr:nvSpPr>
        <xdr:spPr>
          <a:xfrm>
            <a:off x="8801100" y="2752725"/>
            <a:ext cx="2886075" cy="2179526"/>
          </a:xfrm>
          <a:prstGeom prst="triangle">
            <a:avLst>
              <a:gd name="adj" fmla="val 49512"/>
            </a:avLst>
          </a:prstGeom>
          <a:solidFill>
            <a:srgbClr val="7E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fr-CH" sz="1400">
              <a:solidFill>
                <a:srgbClr val="FF0000"/>
              </a:solidFill>
            </a:endParaRPr>
          </a:p>
        </xdr:txBody>
      </xdr:sp>
      <xdr:sp macro="" textlink="">
        <xdr:nvSpPr>
          <xdr:cNvPr id="5" name="ZoneTexte 4">
            <a:extLst>
              <a:ext uri="{FF2B5EF4-FFF2-40B4-BE49-F238E27FC236}">
                <a16:creationId xmlns:a16="http://schemas.microsoft.com/office/drawing/2014/main" id="{B1C8AABA-8FC2-464B-B00A-C94C8D1095D8}"/>
              </a:ext>
            </a:extLst>
          </xdr:cNvPr>
          <xdr:cNvSpPr txBox="1"/>
        </xdr:nvSpPr>
        <xdr:spPr>
          <a:xfrm>
            <a:off x="9096375" y="3032863"/>
            <a:ext cx="2295524" cy="1733550"/>
          </a:xfrm>
          <a:prstGeom prst="triangle">
            <a:avLst>
              <a:gd name="adj" fmla="val 49512"/>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CH" sz="2400">
                <a:solidFill>
                  <a:srgbClr val="7E0000"/>
                </a:solidFill>
                <a:latin typeface="Aptos Black" panose="020B0004020202020204" pitchFamily="34" charset="0"/>
              </a:rPr>
              <a:t>EXCEL 365</a:t>
            </a:r>
          </a:p>
        </xdr:txBody>
      </xdr:sp>
    </xdr:grpSp>
    <xdr:clientData/>
  </xdr:twoCellAnchor>
  <xdr:twoCellAnchor>
    <xdr:from>
      <xdr:col>14</xdr:col>
      <xdr:colOff>333375</xdr:colOff>
      <xdr:row>4</xdr:row>
      <xdr:rowOff>133350</xdr:rowOff>
    </xdr:from>
    <xdr:to>
      <xdr:col>17</xdr:col>
      <xdr:colOff>704850</xdr:colOff>
      <xdr:row>6</xdr:row>
      <xdr:rowOff>265001</xdr:rowOff>
    </xdr:to>
    <xdr:grpSp>
      <xdr:nvGrpSpPr>
        <xdr:cNvPr id="2" name="Groupe 1">
          <a:extLst>
            <a:ext uri="{FF2B5EF4-FFF2-40B4-BE49-F238E27FC236}">
              <a16:creationId xmlns:a16="http://schemas.microsoft.com/office/drawing/2014/main" id="{D427C1DA-4BFC-4868-BCEC-02496ED5E46F}"/>
            </a:ext>
          </a:extLst>
        </xdr:cNvPr>
        <xdr:cNvGrpSpPr/>
      </xdr:nvGrpSpPr>
      <xdr:grpSpPr>
        <a:xfrm>
          <a:off x="20593050" y="1809750"/>
          <a:ext cx="2886075" cy="665051"/>
          <a:chOff x="8801100" y="2752725"/>
          <a:chExt cx="2886075" cy="2179526"/>
        </a:xfrm>
      </xdr:grpSpPr>
      <xdr:sp macro="" textlink="">
        <xdr:nvSpPr>
          <xdr:cNvPr id="3" name="ZoneTexte 2">
            <a:extLst>
              <a:ext uri="{FF2B5EF4-FFF2-40B4-BE49-F238E27FC236}">
                <a16:creationId xmlns:a16="http://schemas.microsoft.com/office/drawing/2014/main" id="{A9CD9678-2730-6192-38FC-BD3609D90105}"/>
              </a:ext>
            </a:extLst>
          </xdr:cNvPr>
          <xdr:cNvSpPr txBox="1"/>
        </xdr:nvSpPr>
        <xdr:spPr>
          <a:xfrm>
            <a:off x="8801100" y="2752725"/>
            <a:ext cx="2886075" cy="2179526"/>
          </a:xfrm>
          <a:prstGeom prst="triangle">
            <a:avLst>
              <a:gd name="adj" fmla="val 49512"/>
            </a:avLst>
          </a:prstGeom>
          <a:solidFill>
            <a:srgbClr val="7E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fr-CH" sz="1400">
              <a:solidFill>
                <a:srgbClr val="FF0000"/>
              </a:solidFill>
            </a:endParaRPr>
          </a:p>
        </xdr:txBody>
      </xdr:sp>
      <xdr:sp macro="" textlink="">
        <xdr:nvSpPr>
          <xdr:cNvPr id="4" name="ZoneTexte 3">
            <a:extLst>
              <a:ext uri="{FF2B5EF4-FFF2-40B4-BE49-F238E27FC236}">
                <a16:creationId xmlns:a16="http://schemas.microsoft.com/office/drawing/2014/main" id="{D10AC9E3-931C-3FEC-30D6-11C0A531A938}"/>
              </a:ext>
            </a:extLst>
          </xdr:cNvPr>
          <xdr:cNvSpPr txBox="1"/>
        </xdr:nvSpPr>
        <xdr:spPr>
          <a:xfrm>
            <a:off x="9096375" y="3032863"/>
            <a:ext cx="2295524" cy="1733550"/>
          </a:xfrm>
          <a:prstGeom prst="triangle">
            <a:avLst>
              <a:gd name="adj" fmla="val 49512"/>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CH" sz="2400">
                <a:solidFill>
                  <a:srgbClr val="7E0000"/>
                </a:solidFill>
                <a:latin typeface="Aptos Black" panose="020B0004020202020204" pitchFamily="34" charset="0"/>
              </a:rPr>
              <a:t>EXCEL 365</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1276350</xdr:colOff>
      <xdr:row>73</xdr:row>
      <xdr:rowOff>19050</xdr:rowOff>
    </xdr:from>
    <xdr:to>
      <xdr:col>2</xdr:col>
      <xdr:colOff>95250</xdr:colOff>
      <xdr:row>74</xdr:row>
      <xdr:rowOff>76200</xdr:rowOff>
    </xdr:to>
    <xdr:cxnSp macro="">
      <xdr:nvCxnSpPr>
        <xdr:cNvPr id="6" name="Connecteur droit avec flèche 5">
          <a:extLst>
            <a:ext uri="{FF2B5EF4-FFF2-40B4-BE49-F238E27FC236}">
              <a16:creationId xmlns:a16="http://schemas.microsoft.com/office/drawing/2014/main" id="{C0987E28-9F4A-BD72-8AA9-D468824EBDFE}"/>
            </a:ext>
          </a:extLst>
        </xdr:cNvPr>
        <xdr:cNvCxnSpPr/>
      </xdr:nvCxnSpPr>
      <xdr:spPr>
        <a:xfrm>
          <a:off x="1276350" y="19345275"/>
          <a:ext cx="1495425" cy="295275"/>
        </a:xfrm>
        <a:prstGeom prst="straightConnector1">
          <a:avLst/>
        </a:prstGeom>
        <a:ln w="28575">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xdr:col>
      <xdr:colOff>590550</xdr:colOff>
      <xdr:row>76</xdr:row>
      <xdr:rowOff>66675</xdr:rowOff>
    </xdr:from>
    <xdr:to>
      <xdr:col>1</xdr:col>
      <xdr:colOff>838200</xdr:colOff>
      <xdr:row>79</xdr:row>
      <xdr:rowOff>47625</xdr:rowOff>
    </xdr:to>
    <xdr:cxnSp macro="">
      <xdr:nvCxnSpPr>
        <xdr:cNvPr id="7" name="Connecteur droit avec flèche 6">
          <a:extLst>
            <a:ext uri="{FF2B5EF4-FFF2-40B4-BE49-F238E27FC236}">
              <a16:creationId xmlns:a16="http://schemas.microsoft.com/office/drawing/2014/main" id="{8A7D6FAF-B8A1-4BCB-958A-9DB25ECA336A}"/>
            </a:ext>
          </a:extLst>
        </xdr:cNvPr>
        <xdr:cNvCxnSpPr/>
      </xdr:nvCxnSpPr>
      <xdr:spPr>
        <a:xfrm flipV="1">
          <a:off x="1895475" y="20221575"/>
          <a:ext cx="247650" cy="866775"/>
        </a:xfrm>
        <a:prstGeom prst="straightConnector1">
          <a:avLst/>
        </a:prstGeom>
        <a:ln w="28575">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2</xdr:col>
      <xdr:colOff>666750</xdr:colOff>
      <xdr:row>72</xdr:row>
      <xdr:rowOff>209550</xdr:rowOff>
    </xdr:from>
    <xdr:to>
      <xdr:col>2</xdr:col>
      <xdr:colOff>1095375</xdr:colOff>
      <xdr:row>73</xdr:row>
      <xdr:rowOff>19050</xdr:rowOff>
    </xdr:to>
    <xdr:cxnSp macro="">
      <xdr:nvCxnSpPr>
        <xdr:cNvPr id="9" name="Connecteur droit avec flèche 8">
          <a:extLst>
            <a:ext uri="{FF2B5EF4-FFF2-40B4-BE49-F238E27FC236}">
              <a16:creationId xmlns:a16="http://schemas.microsoft.com/office/drawing/2014/main" id="{C555D768-F981-499A-89F1-6DF2FA0B6CFC}"/>
            </a:ext>
          </a:extLst>
        </xdr:cNvPr>
        <xdr:cNvCxnSpPr/>
      </xdr:nvCxnSpPr>
      <xdr:spPr>
        <a:xfrm>
          <a:off x="3343275" y="19297650"/>
          <a:ext cx="428625" cy="47625"/>
        </a:xfrm>
        <a:prstGeom prst="straightConnector1">
          <a:avLst/>
        </a:prstGeom>
        <a:ln w="28575">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4</xdr:col>
      <xdr:colOff>1676399</xdr:colOff>
      <xdr:row>109</xdr:row>
      <xdr:rowOff>28575</xdr:rowOff>
    </xdr:from>
    <xdr:to>
      <xdr:col>6</xdr:col>
      <xdr:colOff>2009774</xdr:colOff>
      <xdr:row>111</xdr:row>
      <xdr:rowOff>187575</xdr:rowOff>
    </xdr:to>
    <xdr:sp macro="" textlink="">
      <xdr:nvSpPr>
        <xdr:cNvPr id="11" name="Légende : encadrée 10">
          <a:extLst>
            <a:ext uri="{FF2B5EF4-FFF2-40B4-BE49-F238E27FC236}">
              <a16:creationId xmlns:a16="http://schemas.microsoft.com/office/drawing/2014/main" id="{E24D9D7F-AD33-7FE9-DA1E-E6B49EA782F9}"/>
            </a:ext>
          </a:extLst>
        </xdr:cNvPr>
        <xdr:cNvSpPr/>
      </xdr:nvSpPr>
      <xdr:spPr>
        <a:xfrm>
          <a:off x="7543799" y="31051500"/>
          <a:ext cx="3457575" cy="540000"/>
        </a:xfrm>
        <a:prstGeom prst="borderCallout1">
          <a:avLst>
            <a:gd name="adj1" fmla="val 98437"/>
            <a:gd name="adj2" fmla="val -1111"/>
            <a:gd name="adj3" fmla="val 128125"/>
            <a:gd name="adj4" fmla="val -17500"/>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109</xdr:row>
      <xdr:rowOff>28575</xdr:rowOff>
    </xdr:from>
    <xdr:to>
      <xdr:col>8</xdr:col>
      <xdr:colOff>752474</xdr:colOff>
      <xdr:row>111</xdr:row>
      <xdr:rowOff>187575</xdr:rowOff>
    </xdr:to>
    <xdr:sp macro="" textlink="">
      <xdr:nvSpPr>
        <xdr:cNvPr id="12" name="Légende : encadrée 11">
          <a:extLst>
            <a:ext uri="{FF2B5EF4-FFF2-40B4-BE49-F238E27FC236}">
              <a16:creationId xmlns:a16="http://schemas.microsoft.com/office/drawing/2014/main" id="{7D896BBA-7C2A-4016-B855-EEB6ABBFFC03}"/>
            </a:ext>
          </a:extLst>
        </xdr:cNvPr>
        <xdr:cNvSpPr/>
      </xdr:nvSpPr>
      <xdr:spPr>
        <a:xfrm>
          <a:off x="11020425" y="31051500"/>
          <a:ext cx="2247899" cy="540000"/>
        </a:xfrm>
        <a:prstGeom prst="borderCallout1">
          <a:avLst>
            <a:gd name="adj1" fmla="val 105493"/>
            <a:gd name="adj2" fmla="val 25584"/>
            <a:gd name="adj3" fmla="val 168694"/>
            <a:gd name="adj4" fmla="val -14534"/>
          </a:avLst>
        </a:prstGeom>
        <a:noFill/>
        <a:ln w="28575">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733425</xdr:colOff>
      <xdr:row>109</xdr:row>
      <xdr:rowOff>28575</xdr:rowOff>
    </xdr:from>
    <xdr:to>
      <xdr:col>11</xdr:col>
      <xdr:colOff>28575</xdr:colOff>
      <xdr:row>111</xdr:row>
      <xdr:rowOff>187575</xdr:rowOff>
    </xdr:to>
    <xdr:sp macro="" textlink="">
      <xdr:nvSpPr>
        <xdr:cNvPr id="13" name="Légende : encadrée 12">
          <a:extLst>
            <a:ext uri="{FF2B5EF4-FFF2-40B4-BE49-F238E27FC236}">
              <a16:creationId xmlns:a16="http://schemas.microsoft.com/office/drawing/2014/main" id="{25B47F27-1FB6-4760-B85D-1DD0FE81577E}"/>
            </a:ext>
          </a:extLst>
        </xdr:cNvPr>
        <xdr:cNvSpPr/>
      </xdr:nvSpPr>
      <xdr:spPr>
        <a:xfrm>
          <a:off x="13249275" y="31051500"/>
          <a:ext cx="1800225" cy="540000"/>
        </a:xfrm>
        <a:prstGeom prst="borderCallout1">
          <a:avLst>
            <a:gd name="adj1" fmla="val 105493"/>
            <a:gd name="adj2" fmla="val 27460"/>
            <a:gd name="adj3" fmla="val 209264"/>
            <a:gd name="adj4" fmla="val 19537"/>
          </a:avLst>
        </a:prstGeom>
        <a:noFill/>
        <a:ln w="28575">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1619250</xdr:colOff>
      <xdr:row>7</xdr:row>
      <xdr:rowOff>323850</xdr:rowOff>
    </xdr:from>
    <xdr:to>
      <xdr:col>9</xdr:col>
      <xdr:colOff>1628775</xdr:colOff>
      <xdr:row>9</xdr:row>
      <xdr:rowOff>19050</xdr:rowOff>
    </xdr:to>
    <xdr:sp macro="" textlink="">
      <xdr:nvSpPr>
        <xdr:cNvPr id="2" name="Rectangle: Rounded Corners 1">
          <a:extLst>
            <a:ext uri="{FF2B5EF4-FFF2-40B4-BE49-F238E27FC236}">
              <a16:creationId xmlns:a16="http://schemas.microsoft.com/office/drawing/2014/main" id="{41934490-57DB-898E-7406-CC54F39B3781}"/>
            </a:ext>
          </a:extLst>
        </xdr:cNvPr>
        <xdr:cNvSpPr/>
      </xdr:nvSpPr>
      <xdr:spPr>
        <a:xfrm>
          <a:off x="9258300" y="2676525"/>
          <a:ext cx="1647825" cy="361950"/>
        </a:xfrm>
        <a:prstGeom prst="roundRect">
          <a:avLst/>
        </a:prstGeom>
        <a:no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104775</xdr:colOff>
      <xdr:row>8</xdr:row>
      <xdr:rowOff>57147</xdr:rowOff>
    </xdr:from>
    <xdr:to>
      <xdr:col>11</xdr:col>
      <xdr:colOff>809625</xdr:colOff>
      <xdr:row>11</xdr:row>
      <xdr:rowOff>219073</xdr:rowOff>
    </xdr:to>
    <xdr:sp macro="" textlink="">
      <xdr:nvSpPr>
        <xdr:cNvPr id="3" name="Arrow: Bent-Up 2">
          <a:extLst>
            <a:ext uri="{FF2B5EF4-FFF2-40B4-BE49-F238E27FC236}">
              <a16:creationId xmlns:a16="http://schemas.microsoft.com/office/drawing/2014/main" id="{72D7A8C8-766F-4720-C17F-66689413460F}"/>
            </a:ext>
          </a:extLst>
        </xdr:cNvPr>
        <xdr:cNvSpPr/>
      </xdr:nvSpPr>
      <xdr:spPr>
        <a:xfrm flipV="1">
          <a:off x="11020425" y="2743197"/>
          <a:ext cx="1952625" cy="971551"/>
        </a:xfrm>
        <a:prstGeom prst="ben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1238250</xdr:colOff>
      <xdr:row>5</xdr:row>
      <xdr:rowOff>114301</xdr:rowOff>
    </xdr:from>
    <xdr:to>
      <xdr:col>17</xdr:col>
      <xdr:colOff>95250</xdr:colOff>
      <xdr:row>7</xdr:row>
      <xdr:rowOff>285750</xdr:rowOff>
    </xdr:to>
    <xdr:sp macro="" textlink="$M$7">
      <xdr:nvSpPr>
        <xdr:cNvPr id="4" name="Légende : flèche courbée encadrée à une bordure 2">
          <a:extLst>
            <a:ext uri="{FF2B5EF4-FFF2-40B4-BE49-F238E27FC236}">
              <a16:creationId xmlns:a16="http://schemas.microsoft.com/office/drawing/2014/main" id="{6A76912B-42DD-44B8-9E83-37767E5453FC}"/>
            </a:ext>
          </a:extLst>
        </xdr:cNvPr>
        <xdr:cNvSpPr/>
      </xdr:nvSpPr>
      <xdr:spPr>
        <a:xfrm>
          <a:off x="13401675" y="1962151"/>
          <a:ext cx="4171950" cy="676274"/>
        </a:xfrm>
        <a:custGeom>
          <a:avLst/>
          <a:gdLst>
            <a:gd name="csX0" fmla="*/ 0 w 4171950"/>
            <a:gd name="csY0" fmla="*/ 0 h 676274"/>
            <a:gd name="csX1" fmla="*/ 4171950 w 4171950"/>
            <a:gd name="csY1" fmla="*/ 0 h 676274"/>
            <a:gd name="csX2" fmla="*/ 4171950 w 4171950"/>
            <a:gd name="csY2" fmla="*/ 676274 h 676274"/>
            <a:gd name="csX3" fmla="*/ 0 w 4171950"/>
            <a:gd name="csY3" fmla="*/ 676274 h 676274"/>
            <a:gd name="csX4" fmla="*/ 0 w 4171950"/>
            <a:gd name="csY4" fmla="*/ 0 h 676274"/>
            <a:gd name="csX0" fmla="*/ -347649 w 4171950"/>
            <a:gd name="csY0" fmla="*/ 0 h 676274"/>
            <a:gd name="csX1" fmla="*/ -347649 w 4171950"/>
            <a:gd name="csY1" fmla="*/ 676274 h 676274"/>
            <a:gd name="csX2" fmla="*/ -347649 w 4171950"/>
            <a:gd name="csY2" fmla="*/ 0 h 676274"/>
            <a:gd name="csX0" fmla="*/ -347649 w 4171950"/>
            <a:gd name="csY0" fmla="*/ 126801 h 676274"/>
            <a:gd name="csX1" fmla="*/ -695339 w 4171950"/>
            <a:gd name="csY1" fmla="*/ 126801 h 676274"/>
            <a:gd name="csX2" fmla="*/ -2512181 w 4171950"/>
            <a:gd name="csY2" fmla="*/ 771703 h 676274"/>
          </a:gdLst>
          <a:ahLst/>
          <a:cxnLst>
            <a:cxn ang="0">
              <a:pos x="csX0" y="csY0"/>
            </a:cxn>
            <a:cxn ang="0">
              <a:pos x="csX1" y="csY1"/>
            </a:cxn>
            <a:cxn ang="0">
              <a:pos x="csX2" y="csY2"/>
            </a:cxn>
          </a:cxnLst>
          <a:rect l="l" t="t" r="r" b="b"/>
          <a:pathLst>
            <a:path w="4171950" h="676274" fill="none" extrusionOk="0">
              <a:moveTo>
                <a:pt x="0" y="0"/>
              </a:moveTo>
              <a:cubicBezTo>
                <a:pt x="1404957" y="-134988"/>
                <a:pt x="2316634" y="151333"/>
                <a:pt x="4171950" y="0"/>
              </a:cubicBezTo>
              <a:cubicBezTo>
                <a:pt x="4174021" y="71617"/>
                <a:pt x="4205410" y="564708"/>
                <a:pt x="4171950" y="676274"/>
              </a:cubicBezTo>
              <a:cubicBezTo>
                <a:pt x="2481003" y="513167"/>
                <a:pt x="1446692" y="582622"/>
                <a:pt x="0" y="676274"/>
              </a:cubicBezTo>
              <a:cubicBezTo>
                <a:pt x="48804" y="574140"/>
                <a:pt x="-7868" y="181217"/>
                <a:pt x="0" y="0"/>
              </a:cubicBezTo>
              <a:close/>
            </a:path>
            <a:path w="4171950" h="676274" fill="none" extrusionOk="0">
              <a:moveTo>
                <a:pt x="-347649" y="0"/>
              </a:moveTo>
              <a:cubicBezTo>
                <a:pt x="-316417" y="137896"/>
                <a:pt x="-368992" y="522496"/>
                <a:pt x="-347649" y="676274"/>
              </a:cubicBezTo>
              <a:cubicBezTo>
                <a:pt x="-302700" y="594100"/>
                <a:pt x="-375677" y="156682"/>
                <a:pt x="-347649" y="0"/>
              </a:cubicBezTo>
              <a:close/>
            </a:path>
            <a:path w="4171950" h="676274" fill="none" extrusionOk="0">
              <a:moveTo>
                <a:pt x="-347649" y="126801"/>
              </a:moveTo>
              <a:cubicBezTo>
                <a:pt x="-411854" y="104053"/>
                <a:pt x="-626591" y="120072"/>
                <a:pt x="-695339" y="126801"/>
              </a:cubicBezTo>
              <a:cubicBezTo>
                <a:pt x="-1036654" y="273619"/>
                <a:pt x="-1942719" y="397289"/>
                <a:pt x="-2512181" y="771703"/>
              </a:cubicBezTo>
            </a:path>
            <a:path w="4171950" h="676274" stroke="0" extrusionOk="0">
              <a:moveTo>
                <a:pt x="0" y="0"/>
              </a:moveTo>
              <a:cubicBezTo>
                <a:pt x="766673" y="128138"/>
                <a:pt x="2925138" y="-99895"/>
                <a:pt x="4171950" y="0"/>
              </a:cubicBezTo>
              <a:cubicBezTo>
                <a:pt x="4142255" y="105012"/>
                <a:pt x="4126894" y="379984"/>
                <a:pt x="4171950" y="676274"/>
              </a:cubicBezTo>
              <a:cubicBezTo>
                <a:pt x="3439840" y="744481"/>
                <a:pt x="1317210" y="704659"/>
                <a:pt x="0" y="676274"/>
              </a:cubicBezTo>
              <a:cubicBezTo>
                <a:pt x="58135" y="521160"/>
                <a:pt x="-34131" y="313747"/>
                <a:pt x="0" y="0"/>
              </a:cubicBezTo>
              <a:close/>
            </a:path>
            <a:path w="4171950" h="676274" fill="none" stroke="0" extrusionOk="0">
              <a:moveTo>
                <a:pt x="-347649" y="0"/>
              </a:moveTo>
              <a:cubicBezTo>
                <a:pt x="-399398" y="239327"/>
                <a:pt x="-398892" y="516747"/>
                <a:pt x="-347649" y="676274"/>
              </a:cubicBezTo>
              <a:cubicBezTo>
                <a:pt x="-349581" y="467089"/>
                <a:pt x="-306523" y="302849"/>
                <a:pt x="-347649" y="0"/>
              </a:cubicBezTo>
              <a:close/>
            </a:path>
            <a:path w="4171950" h="676274" fill="none" stroke="0" extrusionOk="0">
              <a:moveTo>
                <a:pt x="-347649" y="126801"/>
              </a:moveTo>
              <a:cubicBezTo>
                <a:pt x="-476311" y="137856"/>
                <a:pt x="-598823" y="149143"/>
                <a:pt x="-695339" y="126801"/>
              </a:cubicBezTo>
              <a:cubicBezTo>
                <a:pt x="-1165680" y="168426"/>
                <a:pt x="-1794074" y="453794"/>
                <a:pt x="-2512181" y="771703"/>
              </a:cubicBezTo>
            </a:path>
          </a:pathLst>
        </a:custGeom>
        <a:solidFill>
          <a:schemeClr val="bg1"/>
        </a:solidFill>
        <a:ln w="28575">
          <a:solidFill>
            <a:schemeClr val="accent1">
              <a:lumMod val="75000"/>
            </a:schemeClr>
          </a:solidFill>
          <a:extLst>
            <a:ext uri="{C807C97D-BFC1-408E-A445-0C87EB9F89A2}">
              <ask:lineSketchStyleProps xmlns:ask="http://schemas.microsoft.com/office/drawing/2018/sketchyshapes" sd="559417188">
                <a:prstGeom prst="accentBorderCallout2">
                  <a:avLst>
                    <a:gd name="adj1" fmla="val 18750"/>
                    <a:gd name="adj2" fmla="val -8333"/>
                    <a:gd name="adj3" fmla="val 18750"/>
                    <a:gd name="adj4" fmla="val -16667"/>
                    <a:gd name="adj5" fmla="val 114111"/>
                    <a:gd name="adj6" fmla="val -60216"/>
                  </a:avLst>
                </a:prstGeom>
                <ask:type>
                  <ask:lineSketchCurved/>
                </ask:type>
              </ask:lineSketchStyleProps>
            </a:ext>
          </a:extLst>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fld id="{8122D51A-9A89-41AB-9AA5-9C4243955525}" type="TxLink">
            <a:rPr lang="en-US" sz="1600" b="0" i="0" u="none" strike="noStrike" kern="1200">
              <a:solidFill>
                <a:schemeClr val="accent2"/>
              </a:solidFill>
              <a:latin typeface="Calibri"/>
              <a:ea typeface="Calibri"/>
              <a:cs typeface="Calibri"/>
            </a:rPr>
            <a:pPr marL="0" indent="0" algn="ctr"/>
            <a:t>=SOMMEPROD((C5:C16=J7)*1;E5:E16;D5:D16)</a:t>
          </a:fld>
          <a:endParaRPr lang="en-US" sz="1600" b="0" i="0" u="none" strike="noStrike" kern="1200">
            <a:solidFill>
              <a:schemeClr val="accent2"/>
            </a:solidFill>
            <a:latin typeface="Calibri"/>
            <a:ea typeface="Calibri"/>
            <a:cs typeface="Calibri"/>
          </a:endParaRPr>
        </a:p>
      </xdr:txBody>
    </xdr:sp>
    <xdr:clientData/>
  </xdr:twoCellAnchor>
  <xdr:twoCellAnchor>
    <xdr:from>
      <xdr:col>11</xdr:col>
      <xdr:colOff>1266826</xdr:colOff>
      <xdr:row>2</xdr:row>
      <xdr:rowOff>9524</xdr:rowOff>
    </xdr:from>
    <xdr:to>
      <xdr:col>16</xdr:col>
      <xdr:colOff>409576</xdr:colOff>
      <xdr:row>4</xdr:row>
      <xdr:rowOff>352424</xdr:rowOff>
    </xdr:to>
    <xdr:sp macro="" textlink="$M$5">
      <xdr:nvSpPr>
        <xdr:cNvPr id="5" name="Légende : flèche courbée encadrée à une bordure 2">
          <a:extLst>
            <a:ext uri="{FF2B5EF4-FFF2-40B4-BE49-F238E27FC236}">
              <a16:creationId xmlns:a16="http://schemas.microsoft.com/office/drawing/2014/main" id="{FC5B8B13-054C-4B29-B9F3-4BF045484B7C}"/>
            </a:ext>
          </a:extLst>
        </xdr:cNvPr>
        <xdr:cNvSpPr/>
      </xdr:nvSpPr>
      <xdr:spPr>
        <a:xfrm>
          <a:off x="13430251" y="1066799"/>
          <a:ext cx="3714750" cy="771525"/>
        </a:xfrm>
        <a:custGeom>
          <a:avLst/>
          <a:gdLst>
            <a:gd name="csX0" fmla="*/ 0 w 3714750"/>
            <a:gd name="csY0" fmla="*/ 0 h 771525"/>
            <a:gd name="csX1" fmla="*/ 3714750 w 3714750"/>
            <a:gd name="csY1" fmla="*/ 0 h 771525"/>
            <a:gd name="csX2" fmla="*/ 3714750 w 3714750"/>
            <a:gd name="csY2" fmla="*/ 771525 h 771525"/>
            <a:gd name="csX3" fmla="*/ 0 w 3714750"/>
            <a:gd name="csY3" fmla="*/ 771525 h 771525"/>
            <a:gd name="csX4" fmla="*/ 0 w 3714750"/>
            <a:gd name="csY4" fmla="*/ 0 h 771525"/>
            <a:gd name="csX0" fmla="*/ -309550 w 3714750"/>
            <a:gd name="csY0" fmla="*/ 0 h 771525"/>
            <a:gd name="csX1" fmla="*/ -309550 w 3714750"/>
            <a:gd name="csY1" fmla="*/ 771525 h 771525"/>
            <a:gd name="csX2" fmla="*/ -309550 w 3714750"/>
            <a:gd name="csY2" fmla="*/ 0 h 771525"/>
            <a:gd name="csX0" fmla="*/ -309550 w 3714750"/>
            <a:gd name="csY0" fmla="*/ 144661 h 771525"/>
            <a:gd name="csX1" fmla="*/ -619137 w 3714750"/>
            <a:gd name="csY1" fmla="*/ 144661 h 771525"/>
            <a:gd name="csX2" fmla="*/ -2499990 w 3714750"/>
            <a:gd name="csY2" fmla="*/ 1490247 h 771525"/>
          </a:gdLst>
          <a:ahLst/>
          <a:cxnLst>
            <a:cxn ang="0">
              <a:pos x="csX0" y="csY0"/>
            </a:cxn>
            <a:cxn ang="0">
              <a:pos x="csX1" y="csY1"/>
            </a:cxn>
            <a:cxn ang="0">
              <a:pos x="csX2" y="csY2"/>
            </a:cxn>
          </a:cxnLst>
          <a:rect l="l" t="t" r="r" b="b"/>
          <a:pathLst>
            <a:path w="3714750" h="771525" fill="none" extrusionOk="0">
              <a:moveTo>
                <a:pt x="0" y="0"/>
              </a:moveTo>
              <a:cubicBezTo>
                <a:pt x="680670" y="139995"/>
                <a:pt x="1964461" y="73779"/>
                <a:pt x="3714750" y="0"/>
              </a:cubicBezTo>
              <a:cubicBezTo>
                <a:pt x="3739586" y="100526"/>
                <a:pt x="3733861" y="494381"/>
                <a:pt x="3714750" y="771525"/>
              </a:cubicBezTo>
              <a:cubicBezTo>
                <a:pt x="1922934" y="693533"/>
                <a:pt x="1509325" y="642698"/>
                <a:pt x="0" y="771525"/>
              </a:cubicBezTo>
              <a:cubicBezTo>
                <a:pt x="-24242" y="446374"/>
                <a:pt x="53359" y="229005"/>
                <a:pt x="0" y="0"/>
              </a:cubicBezTo>
              <a:close/>
            </a:path>
            <a:path w="3714750" h="771525" fill="none" extrusionOk="0">
              <a:moveTo>
                <a:pt x="-309550" y="0"/>
              </a:moveTo>
              <a:cubicBezTo>
                <a:pt x="-350247" y="155497"/>
                <a:pt x="-314193" y="633291"/>
                <a:pt x="-309550" y="771525"/>
              </a:cubicBezTo>
              <a:cubicBezTo>
                <a:pt x="-312050" y="484293"/>
                <a:pt x="-368294" y="143342"/>
                <a:pt x="-309550" y="0"/>
              </a:cubicBezTo>
              <a:close/>
            </a:path>
            <a:path w="3714750" h="771525" fill="none" extrusionOk="0">
              <a:moveTo>
                <a:pt x="-309550" y="144661"/>
              </a:moveTo>
              <a:cubicBezTo>
                <a:pt x="-399320" y="140190"/>
                <a:pt x="-587067" y="138669"/>
                <a:pt x="-619137" y="144661"/>
              </a:cubicBezTo>
              <a:cubicBezTo>
                <a:pt x="-1014295" y="612905"/>
                <a:pt x="-1920022" y="1080514"/>
                <a:pt x="-2499990" y="1490247"/>
              </a:cubicBezTo>
            </a:path>
            <a:path w="3714750" h="771525" stroke="0" extrusionOk="0">
              <a:moveTo>
                <a:pt x="0" y="0"/>
              </a:moveTo>
              <a:cubicBezTo>
                <a:pt x="888285" y="39694"/>
                <a:pt x="2846630" y="-69620"/>
                <a:pt x="3714750" y="0"/>
              </a:cubicBezTo>
              <a:cubicBezTo>
                <a:pt x="3657072" y="181348"/>
                <a:pt x="3665153" y="396130"/>
                <a:pt x="3714750" y="771525"/>
              </a:cubicBezTo>
              <a:cubicBezTo>
                <a:pt x="2489503" y="602856"/>
                <a:pt x="1352015" y="848433"/>
                <a:pt x="0" y="771525"/>
              </a:cubicBezTo>
              <a:cubicBezTo>
                <a:pt x="-5605" y="536153"/>
                <a:pt x="-29374" y="159393"/>
                <a:pt x="0" y="0"/>
              </a:cubicBezTo>
              <a:close/>
            </a:path>
            <a:path w="3714750" h="771525" fill="none" stroke="0" extrusionOk="0">
              <a:moveTo>
                <a:pt x="-309550" y="0"/>
              </a:moveTo>
              <a:cubicBezTo>
                <a:pt x="-292840" y="344808"/>
                <a:pt x="-334634" y="509778"/>
                <a:pt x="-309550" y="771525"/>
              </a:cubicBezTo>
              <a:cubicBezTo>
                <a:pt x="-336999" y="418036"/>
                <a:pt x="-351265" y="301168"/>
                <a:pt x="-309550" y="0"/>
              </a:cubicBezTo>
              <a:close/>
            </a:path>
            <a:path w="3714750" h="771525" fill="none" stroke="0" extrusionOk="0">
              <a:moveTo>
                <a:pt x="-309550" y="144661"/>
              </a:moveTo>
              <a:cubicBezTo>
                <a:pt x="-367476" y="127485"/>
                <a:pt x="-526329" y="132471"/>
                <a:pt x="-619137" y="144661"/>
              </a:cubicBezTo>
              <a:cubicBezTo>
                <a:pt x="-1158084" y="518357"/>
                <a:pt x="-2187066" y="1175142"/>
                <a:pt x="-2499990" y="1490247"/>
              </a:cubicBezTo>
            </a:path>
          </a:pathLst>
        </a:custGeom>
        <a:solidFill>
          <a:schemeClr val="bg1"/>
        </a:solidFill>
        <a:ln w="28575">
          <a:solidFill>
            <a:schemeClr val="accent1">
              <a:lumMod val="75000"/>
            </a:schemeClr>
          </a:solidFill>
          <a:extLst>
            <a:ext uri="{C807C97D-BFC1-408E-A445-0C87EB9F89A2}">
              <ask:lineSketchStyleProps xmlns:ask="http://schemas.microsoft.com/office/drawing/2018/sketchyshapes" sd="2895341208">
                <a:prstGeom prst="accentBorderCallout2">
                  <a:avLst>
                    <a:gd name="adj1" fmla="val 18750"/>
                    <a:gd name="adj2" fmla="val -8333"/>
                    <a:gd name="adj3" fmla="val 18750"/>
                    <a:gd name="adj4" fmla="val -16667"/>
                    <a:gd name="adj5" fmla="val 193156"/>
                    <a:gd name="adj6" fmla="val -67299"/>
                  </a:avLst>
                </a:prstGeom>
                <ask:type>
                  <ask:lineSketchCurved/>
                </ask:type>
              </ask:lineSketchStyleProps>
            </a:ext>
          </a:extLst>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fld id="{13E8CFAC-34B7-431D-8C73-CA08A62AAF35}" type="TxLink">
            <a:rPr lang="en-US" sz="1600" b="0" i="0" u="none" strike="noStrike" kern="1200">
              <a:solidFill>
                <a:schemeClr val="accent2"/>
              </a:solidFill>
              <a:latin typeface="Calibri"/>
              <a:ea typeface="Calibri"/>
              <a:cs typeface="Calibri"/>
            </a:rPr>
            <a:pPr marL="0" indent="0" algn="ctr"/>
            <a:t>=SOMMEPROD((C5:C16=J7)*1;E5:E16)</a:t>
          </a:fld>
          <a:endParaRPr lang="fr-CH" sz="1600" b="1" i="0" u="none" strike="noStrike" kern="1200">
            <a:solidFill>
              <a:schemeClr val="accent2"/>
            </a:solidFill>
            <a:latin typeface="Calibri"/>
            <a:ea typeface="Calibri"/>
            <a:cs typeface="Calibri"/>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57150</xdr:colOff>
      <xdr:row>4</xdr:row>
      <xdr:rowOff>95250</xdr:rowOff>
    </xdr:from>
    <xdr:to>
      <xdr:col>9</xdr:col>
      <xdr:colOff>676275</xdr:colOff>
      <xdr:row>7</xdr:row>
      <xdr:rowOff>190500</xdr:rowOff>
    </xdr:to>
    <xdr:pic>
      <xdr:nvPicPr>
        <xdr:cNvPr id="3" name="Graphique 2" descr="Flèche vers la droite avec un remplissage uni">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810500" y="1590675"/>
          <a:ext cx="619125" cy="733425"/>
        </a:xfrm>
        <a:prstGeom prst="rect">
          <a:avLst/>
        </a:prstGeom>
      </xdr:spPr>
    </xdr:pic>
    <xdr:clientData/>
  </xdr:twoCellAnchor>
  <xdr:twoCellAnchor editAs="oneCell">
    <xdr:from>
      <xdr:col>9</xdr:col>
      <xdr:colOff>85725</xdr:colOff>
      <xdr:row>25</xdr:row>
      <xdr:rowOff>104775</xdr:rowOff>
    </xdr:from>
    <xdr:to>
      <xdr:col>9</xdr:col>
      <xdr:colOff>704850</xdr:colOff>
      <xdr:row>28</xdr:row>
      <xdr:rowOff>104775</xdr:rowOff>
    </xdr:to>
    <xdr:pic>
      <xdr:nvPicPr>
        <xdr:cNvPr id="5" name="Graphique 4" descr="Flèche vers la droite avec un remplissage uni">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724775" y="5667375"/>
          <a:ext cx="619125" cy="619125"/>
        </a:xfrm>
        <a:prstGeom prst="rect">
          <a:avLst/>
        </a:prstGeom>
      </xdr:spPr>
    </xdr:pic>
    <xdr:clientData/>
  </xdr:twoCellAnchor>
  <xdr:twoCellAnchor>
    <xdr:from>
      <xdr:col>0</xdr:col>
      <xdr:colOff>619125</xdr:colOff>
      <xdr:row>80</xdr:row>
      <xdr:rowOff>85725</xdr:rowOff>
    </xdr:from>
    <xdr:to>
      <xdr:col>2</xdr:col>
      <xdr:colOff>981075</xdr:colOff>
      <xdr:row>82</xdr:row>
      <xdr:rowOff>76200</xdr:rowOff>
    </xdr:to>
    <xdr:sp macro="" textlink="">
      <xdr:nvSpPr>
        <xdr:cNvPr id="4" name="Légende : flèche courbée à une bordure 3">
          <a:extLst>
            <a:ext uri="{FF2B5EF4-FFF2-40B4-BE49-F238E27FC236}">
              <a16:creationId xmlns:a16="http://schemas.microsoft.com/office/drawing/2014/main" id="{DE8A51A7-89FB-B59A-2E6D-A537B1CA0B97}"/>
            </a:ext>
          </a:extLst>
        </xdr:cNvPr>
        <xdr:cNvSpPr/>
      </xdr:nvSpPr>
      <xdr:spPr>
        <a:xfrm flipH="1">
          <a:off x="619125" y="17249775"/>
          <a:ext cx="2152650" cy="371475"/>
        </a:xfrm>
        <a:prstGeom prst="accentCallout2">
          <a:avLst>
            <a:gd name="adj1" fmla="val 18750"/>
            <a:gd name="adj2" fmla="val -8333"/>
            <a:gd name="adj3" fmla="val 18750"/>
            <a:gd name="adj4" fmla="val -16667"/>
            <a:gd name="adj5" fmla="val -156731"/>
            <a:gd name="adj6" fmla="val -34278"/>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400"/>
            <a:t>nom</a:t>
          </a:r>
          <a:r>
            <a:rPr lang="en-US" sz="1400" baseline="0"/>
            <a:t> de la table : tbl_filtre</a:t>
          </a:r>
          <a:endParaRPr lang="en-US" sz="1400"/>
        </a:p>
      </xdr:txBody>
    </xdr:sp>
    <xdr:clientData/>
  </xdr:twoCellAnchor>
  <xdr:twoCellAnchor>
    <xdr:from>
      <xdr:col>0</xdr:col>
      <xdr:colOff>428625</xdr:colOff>
      <xdr:row>25</xdr:row>
      <xdr:rowOff>209550</xdr:rowOff>
    </xdr:from>
    <xdr:to>
      <xdr:col>3</xdr:col>
      <xdr:colOff>85725</xdr:colOff>
      <xdr:row>27</xdr:row>
      <xdr:rowOff>152400</xdr:rowOff>
    </xdr:to>
    <xdr:sp macro="" textlink="">
      <xdr:nvSpPr>
        <xdr:cNvPr id="6" name="Légende : flèche courbée à une bordure 5">
          <a:extLst>
            <a:ext uri="{FF2B5EF4-FFF2-40B4-BE49-F238E27FC236}">
              <a16:creationId xmlns:a16="http://schemas.microsoft.com/office/drawing/2014/main" id="{73F88DCF-1A43-4370-8563-AABFD7D38B14}"/>
            </a:ext>
          </a:extLst>
        </xdr:cNvPr>
        <xdr:cNvSpPr/>
      </xdr:nvSpPr>
      <xdr:spPr>
        <a:xfrm flipH="1">
          <a:off x="428625" y="5924550"/>
          <a:ext cx="2533650" cy="371475"/>
        </a:xfrm>
        <a:prstGeom prst="accentCallout2">
          <a:avLst>
            <a:gd name="adj1" fmla="val 18750"/>
            <a:gd name="adj2" fmla="val -8333"/>
            <a:gd name="adj3" fmla="val 18750"/>
            <a:gd name="adj4" fmla="val -16667"/>
            <a:gd name="adj5" fmla="val -156731"/>
            <a:gd name="adj6" fmla="val -34278"/>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400"/>
            <a:t>nom</a:t>
          </a:r>
          <a:r>
            <a:rPr lang="en-US" sz="1400" baseline="0"/>
            <a:t> de la plage : rng_Filter</a:t>
          </a:r>
          <a:endParaRPr lang="en-US" sz="14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381000</xdr:colOff>
      <xdr:row>37</xdr:row>
      <xdr:rowOff>200025</xdr:rowOff>
    </xdr:from>
    <xdr:to>
      <xdr:col>10</xdr:col>
      <xdr:colOff>483869</xdr:colOff>
      <xdr:row>39</xdr:row>
      <xdr:rowOff>47625</xdr:rowOff>
    </xdr:to>
    <xdr:sp macro="" textlink="">
      <xdr:nvSpPr>
        <xdr:cNvPr id="2" name="Flèche : double flèche verticale 1">
          <a:extLst>
            <a:ext uri="{FF2B5EF4-FFF2-40B4-BE49-F238E27FC236}">
              <a16:creationId xmlns:a16="http://schemas.microsoft.com/office/drawing/2014/main" id="{00000000-0008-0000-0900-000002000000}"/>
            </a:ext>
          </a:extLst>
        </xdr:cNvPr>
        <xdr:cNvSpPr/>
      </xdr:nvSpPr>
      <xdr:spPr>
        <a:xfrm>
          <a:off x="1390650" y="6981825"/>
          <a:ext cx="102869" cy="276225"/>
        </a:xfrm>
        <a:prstGeom prst="upDownArrow">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4</xdr:col>
      <xdr:colOff>447676</xdr:colOff>
      <xdr:row>2</xdr:row>
      <xdr:rowOff>47625</xdr:rowOff>
    </xdr:from>
    <xdr:to>
      <xdr:col>4</xdr:col>
      <xdr:colOff>590550</xdr:colOff>
      <xdr:row>3</xdr:row>
      <xdr:rowOff>314325</xdr:rowOff>
    </xdr:to>
    <xdr:sp macro="" textlink="">
      <xdr:nvSpPr>
        <xdr:cNvPr id="3" name="Flèche : double flèche verticale 2">
          <a:extLst>
            <a:ext uri="{FF2B5EF4-FFF2-40B4-BE49-F238E27FC236}">
              <a16:creationId xmlns:a16="http://schemas.microsoft.com/office/drawing/2014/main" id="{00000000-0008-0000-0900-000003000000}"/>
            </a:ext>
          </a:extLst>
        </xdr:cNvPr>
        <xdr:cNvSpPr/>
      </xdr:nvSpPr>
      <xdr:spPr>
        <a:xfrm>
          <a:off x="3876676" y="285750"/>
          <a:ext cx="142874" cy="504825"/>
        </a:xfrm>
        <a:prstGeom prst="upDownArrow">
          <a:avLst/>
        </a:prstGeom>
        <a:solidFill>
          <a:schemeClr val="tx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6</xdr:col>
      <xdr:colOff>523875</xdr:colOff>
      <xdr:row>3</xdr:row>
      <xdr:rowOff>0</xdr:rowOff>
    </xdr:from>
    <xdr:to>
      <xdr:col>6</xdr:col>
      <xdr:colOff>676275</xdr:colOff>
      <xdr:row>3</xdr:row>
      <xdr:rowOff>304800</xdr:rowOff>
    </xdr:to>
    <xdr:sp macro="" textlink="">
      <xdr:nvSpPr>
        <xdr:cNvPr id="8" name="Flèche : double flèche verticale 1">
          <a:extLst>
            <a:ext uri="{FF2B5EF4-FFF2-40B4-BE49-F238E27FC236}">
              <a16:creationId xmlns:a16="http://schemas.microsoft.com/office/drawing/2014/main" id="{00000000-0008-0000-0900-000008000000}"/>
            </a:ext>
          </a:extLst>
        </xdr:cNvPr>
        <xdr:cNvSpPr/>
      </xdr:nvSpPr>
      <xdr:spPr>
        <a:xfrm>
          <a:off x="5981700" y="476250"/>
          <a:ext cx="152400" cy="304800"/>
        </a:xfrm>
        <a:prstGeom prst="upDownArrow">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390525</xdr:colOff>
      <xdr:row>40</xdr:row>
      <xdr:rowOff>47625</xdr:rowOff>
    </xdr:from>
    <xdr:to>
      <xdr:col>9</xdr:col>
      <xdr:colOff>400050</xdr:colOff>
      <xdr:row>42</xdr:row>
      <xdr:rowOff>133350</xdr:rowOff>
    </xdr:to>
    <xdr:cxnSp macro="">
      <xdr:nvCxnSpPr>
        <xdr:cNvPr id="3" name="Connecteur droit avec flèche 2">
          <a:extLst>
            <a:ext uri="{FF2B5EF4-FFF2-40B4-BE49-F238E27FC236}">
              <a16:creationId xmlns:a16="http://schemas.microsoft.com/office/drawing/2014/main" id="{9C1F1918-3AE9-5E61-B518-6386CEC70BC7}"/>
            </a:ext>
          </a:extLst>
        </xdr:cNvPr>
        <xdr:cNvCxnSpPr/>
      </xdr:nvCxnSpPr>
      <xdr:spPr>
        <a:xfrm flipH="1" flipV="1">
          <a:off x="7391400" y="7829550"/>
          <a:ext cx="9525" cy="466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504825</xdr:colOff>
      <xdr:row>40</xdr:row>
      <xdr:rowOff>47625</xdr:rowOff>
    </xdr:from>
    <xdr:to>
      <xdr:col>3</xdr:col>
      <xdr:colOff>514350</xdr:colOff>
      <xdr:row>42</xdr:row>
      <xdr:rowOff>133350</xdr:rowOff>
    </xdr:to>
    <xdr:cxnSp macro="">
      <xdr:nvCxnSpPr>
        <xdr:cNvPr id="4" name="Connecteur droit avec flèche 3">
          <a:extLst>
            <a:ext uri="{FF2B5EF4-FFF2-40B4-BE49-F238E27FC236}">
              <a16:creationId xmlns:a16="http://schemas.microsoft.com/office/drawing/2014/main" id="{285F5840-6853-45E0-9EC5-8D189A04AAE2}"/>
            </a:ext>
          </a:extLst>
        </xdr:cNvPr>
        <xdr:cNvCxnSpPr/>
      </xdr:nvCxnSpPr>
      <xdr:spPr>
        <a:xfrm flipH="1" flipV="1">
          <a:off x="2838450" y="7829550"/>
          <a:ext cx="9525" cy="466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AD62574-9DF7-4805-AA6B-3312233089EA}" name="tbl_tradfunctions" displayName="tbl_tradfunctions" ref="A2:E100" totalsRowShown="0" dataDxfId="41">
  <autoFilter ref="A2:E100" xr:uid="{E356AEC4-543A-4026-B39B-0233DBED9B96}"/>
  <tableColumns count="5">
    <tableColumn id="1" xr3:uid="{8A5DADC6-7B3C-42AB-BF53-000EFF99B475}" name="Index" dataDxfId="40"/>
    <tableColumn id="2" xr3:uid="{53C2EFB3-A870-4D2A-839D-6784D06DA660}" name="ENG" dataDxfId="39"/>
    <tableColumn id="3" xr3:uid="{D8E24E7B-8EB3-4ACE-8369-BFDC79E4E072}" name="FR" dataDxfId="38"/>
    <tableColumn id="4" xr3:uid="{37E070F8-26C6-41F6-B987-316D06C4755E}" name="DESCENG" dataDxfId="37"/>
    <tableColumn id="5" xr3:uid="{7034F19C-F20D-43E7-8ABA-EC83A3CBB062}" name="DESCFR" dataDxfId="36"/>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D87D17-F259-4FB3-8420-9A6EF0D623C8}" name="Tableau4" displayName="Tableau4" ref="A12:F35" totalsRowShown="0">
  <autoFilter ref="A12:F35" xr:uid="{AF0A112F-46BD-4C13-83C2-F8FBD471C4DC}"/>
  <sortState xmlns:xlrd2="http://schemas.microsoft.com/office/spreadsheetml/2017/richdata2" ref="A13:F35">
    <sortCondition ref="A12:A35"/>
  </sortState>
  <tableColumns count="6">
    <tableColumn id="1" xr3:uid="{4C1ADFCD-5FDF-4003-8CFA-16A02A541C8F}" name="Groupe"/>
    <tableColumn id="2" xr3:uid="{7E469FE4-54A4-4C7D-BB5F-3FE5685CC3F3}" name="MENU ENG"/>
    <tableColumn id="4" xr3:uid="{C20F0008-CAE6-485E-AF53-65DC5DCBD563}" name="MENU FR"/>
    <tableColumn id="6" xr3:uid="{56F1BA64-E9A1-48E2-B367-BF7E9E7A78AE}" name="Feuille lien"/>
    <tableColumn id="7" xr3:uid="{A7C1099A-AB0D-412E-BF99-2B57D1EED70E}" name="Cellule lien"/>
    <tableColumn id="8" xr3:uid="{0C715CBB-49CB-4989-8777-2C62B41E2467}" name="Titre page">
      <calculatedColumnFormula array="1">IF(eng_flag,Tableau4[[#This Row],[MENU ENG]],Tableau4[[#This Row],[MENU FR]])</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2E9A695-8465-4EA0-8765-2E51FC718FCE}" name="tbl_365" displayName="tbl_365" ref="A102:E142" totalsRowShown="0">
  <autoFilter ref="A102:E142" xr:uid="{E356AEC4-543A-4026-B39B-0233DBED9B96}"/>
  <tableColumns count="5">
    <tableColumn id="1" xr3:uid="{B8DBF2D4-6358-4798-BC36-986161930B0B}" name="groupe"/>
    <tableColumn id="2" xr3:uid="{EB2044B3-BC8B-4550-9895-0C013A02EEEA}" name="ENG"/>
    <tableColumn id="3" xr3:uid="{FDBEE5B6-1CB7-4B98-9F29-250953A3381B}" name="FR"/>
    <tableColumn id="4" xr3:uid="{A109026B-491F-4648-92CE-F3A2439D97CD}" name="DESCENG"/>
    <tableColumn id="5" xr3:uid="{89356D49-DD6F-489A-BF7D-6A0C51616F40}" name="DESCFR"/>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1E90E5B-2CB5-40D7-B271-57F975FD5174}" name="tbl_filtre" displayName="tbl_filtre" ref="B57:H77" totalsRowShown="0" headerRowDxfId="33" dataDxfId="32" headerRowBorderDxfId="30" tableBorderDxfId="31" headerRowCellStyle="HeaderCol">
  <autoFilter ref="B57:H77" xr:uid="{11E90E5B-2CB5-40D7-B271-57F975FD5174}"/>
  <tableColumns count="7">
    <tableColumn id="1" xr3:uid="{6ADFC8E0-2F47-443E-88AB-2A871A91FC6B}" name="Department" dataDxfId="29"/>
    <tableColumn id="2" xr3:uid="{10755971-2105-4DB8-9A3D-E44A0D3BAA75}" name="Employee" dataDxfId="28"/>
    <tableColumn id="3" xr3:uid="{8DF47F79-2BE0-4B9D-98FF-51FCB6935889}" name="Salary" dataDxfId="27"/>
    <tableColumn id="4" xr3:uid="{87014609-4FAF-4724-A5FC-D191A652E3D6}" name="Born in" dataDxfId="26"/>
    <tableColumn id="5" xr3:uid="{B249799D-6C0B-4BF5-AC89-0531FE1B0851}" name="Gender" dataDxfId="25"/>
    <tableColumn id="6" xr3:uid="{609A74B9-4D87-42DE-B192-F54A7AF8217C}" name="City" dataDxfId="24"/>
    <tableColumn id="7" xr3:uid="{1C229C45-6338-4D5C-82E1-DC43281FA885}" name="Status" dataDxfId="2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2C40D1-5A0F-40FC-A9F6-15BC9EF41F19}" name="tbl_Presidents" displayName="tbl_Presidents" ref="B5:H50" totalsRowShown="0" dataDxfId="22" tableBorderDxfId="21" headerRowCellStyle="HeaderCol">
  <autoFilter ref="B5:H50" xr:uid="{262C40D1-5A0F-40FC-A9F6-15BC9EF41F19}"/>
  <tableColumns count="7">
    <tableColumn id="7" xr3:uid="{760658F7-D7C3-4464-96E0-EB8209B65286}" name="Année / Year" dataDxfId="20"/>
    <tableColumn id="1" xr3:uid="{84D3463B-B423-4FCD-9F8C-17A82DFD3E42}" name="Nom / Name" dataDxfId="19"/>
    <tableColumn id="2" xr3:uid="{F74CA37F-563C-4D8D-87C0-8D1BF7B1B07A}" name="Base" dataDxfId="18"/>
    <tableColumn id="3" xr3:uid="{15B9211F-3895-4E00-943B-0687A0E354E0}" name="Bonus" dataDxfId="17">
      <calculatedColumnFormula>_xlfn.XLOOKUP(tbl_Presidents[[#This Row],[Nom / Name]],Tableau_bonus[Nom],Tableau_bonus[Bonus %],0)*D6</calculatedColumnFormula>
    </tableColumn>
    <tableColumn id="4" xr3:uid="{455ACC75-87E3-423A-A2AF-963E038920D3}" name="Base+Bonus" dataDxfId="16">
      <calculatedColumnFormula>D6+E6</calculatedColumnFormula>
    </tableColumn>
    <tableColumn id="5" xr3:uid="{1A15480E-A5B6-4924-BB90-E65FA9FF227B}" name="Extra Bonus " dataDxfId="15">
      <calculatedColumnFormula>_xlfn.XLOOKUP(D6,$G$56:$G$60,$H$56:$H$60,,-1)*D6</calculatedColumnFormula>
    </tableColumn>
    <tableColumn id="6" xr3:uid="{3FD976BD-D7DD-4C58-91E7-3EDCD2FCACC2}" name="Total" dataDxfId="14">
      <calculatedColumnFormula>SUM(F6:G6)</calculatedColumnFormula>
    </tableColumn>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53B1394-C8B8-4C51-8491-D73EF48BF15A}" name="Tableau_bonus" displayName="Tableau_bonus" ref="B55:D100" totalsRowShown="0" dataDxfId="13" headerRowCellStyle="HeaderCol">
  <autoFilter ref="B55:D100" xr:uid="{553B1394-C8B8-4C51-8491-D73EF48BF15A}"/>
  <tableColumns count="3">
    <tableColumn id="1" xr3:uid="{6C4CB185-8239-47E1-9406-A9FFF78E84D6}" name="ID" dataDxfId="12"/>
    <tableColumn id="2" xr3:uid="{DAF3507A-B9DE-4FD3-A7C9-CA3793F432CA}" name="Bonus %" dataDxfId="11"/>
    <tableColumn id="3" xr3:uid="{CF0BC778-12AC-4FE1-B971-E0A3D2EC5446}" name="Nom" dataDxfId="10"/>
  </tableColumns>
  <tableStyleInfo name="TableStyleLight1" showFirstColumn="0" showLastColumn="0" showRowStripes="1" showColumnStripes="0"/>
</table>
</file>

<file path=xl/theme/theme1.xml><?xml version="1.0" encoding="utf-8"?>
<a:theme xmlns:a="http://schemas.openxmlformats.org/drawingml/2006/main" name="Thème Office 2013 – 2022">
  <a:themeElements>
    <a:clrScheme name="ExcelGeneral">
      <a:dk1>
        <a:srgbClr val="36454F"/>
      </a:dk1>
      <a:lt1>
        <a:sysClr val="window" lastClr="FFFFFF"/>
      </a:lt1>
      <a:dk2>
        <a:srgbClr val="49732F"/>
      </a:dk2>
      <a:lt2>
        <a:srgbClr val="E7E6E6"/>
      </a:lt2>
      <a:accent1>
        <a:srgbClr val="50C878"/>
      </a:accent1>
      <a:accent2>
        <a:srgbClr val="228B22"/>
      </a:accent2>
      <a:accent3>
        <a:srgbClr val="98FF98"/>
      </a:accent3>
      <a:accent4>
        <a:srgbClr val="660066"/>
      </a:accent4>
      <a:accent5>
        <a:srgbClr val="FFC000"/>
      </a:accent5>
      <a:accent6>
        <a:srgbClr val="008080"/>
      </a:accent6>
      <a:hlink>
        <a:srgbClr val="008000"/>
      </a:hlink>
      <a:folHlink>
        <a:srgbClr val="C490AA"/>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5" Type="http://schemas.microsoft.com/office/2011/relationships/webextension" Target="webextension5.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 dockstate="right" visibility="0" width="350" row="15">
    <wetp:webextensionref xmlns:r="http://schemas.openxmlformats.org/officeDocument/2006/relationships" r:id="rId2"/>
  </wetp:taskpane>
  <wetp:taskpane dockstate="right" visibility="0" width="350" row="16">
    <wetp:webextensionref xmlns:r="http://schemas.openxmlformats.org/officeDocument/2006/relationships" r:id="rId3"/>
  </wetp:taskpane>
  <wetp:taskpane dockstate="right" visibility="0" width="0" row="0">
    <wetp:webextensionref xmlns:r="http://schemas.openxmlformats.org/officeDocument/2006/relationships" r:id="rId4"/>
  </wetp:taskpane>
  <wetp:taskpane dockstate="right" visibility="0" width="350" row="7">
    <wetp:webextensionref xmlns:r="http://schemas.openxmlformats.org/officeDocument/2006/relationships" r:id="rId5"/>
  </wetp:taskpane>
</wetp:taskpanes>
</file>

<file path=xl/webextensions/webextension1.xml><?xml version="1.0" encoding="utf-8"?>
<we:webextension xmlns:we="http://schemas.microsoft.com/office/webextensions/webextension/2010/11" id="{7F4C4D82-3381-4E83-A7BD-6E6DE30B8A29}">
  <we:reference id="wa200005271" version="2.5.5.0" store="fr-FR"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DBEDC681-2346-4C2B-A593-E63E48B7718C}">
  <we:reference id="wa104380123" version="1.0.0.0" store="fr-FR" storeType="OMEX"/>
  <we:alternateReferences>
    <we:reference id="WA104380123" version="1.0.0.0" store="WA104380123"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3.xml><?xml version="1.0" encoding="utf-8"?>
<we:webextension xmlns:we="http://schemas.microsoft.com/office/webextensions/webextension/2010/11" id="{26CC2C5D-DA7A-4AB6-A89D-20457B592361}">
  <we:reference id="wa104381504" version="1.0.0.0" store="fr-FR" storeType="OMEX"/>
  <we:alternateReferences>
    <we:reference id="WA104381504"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4.xml><?xml version="1.0" encoding="utf-8"?>
<we:webextension xmlns:we="http://schemas.microsoft.com/office/webextensions/webextension/2010/11" id="{93705295-F1C4-4A27-A6D2-B3CDC33E2A04}">
  <we:reference id="wa200007447" version="1.0.0.0" store="fr-CH" storeType="OMEX"/>
  <we:alternateReferences>
    <we:reference id="wa200007447"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ebextensions/webextension5.xml><?xml version="1.0" encoding="utf-8"?>
<we:webextension xmlns:we="http://schemas.microsoft.com/office/webextensions/webextension/2010/11" id="{F83EF685-3743-4029-AABC-DEF7CC7BC74D}">
  <we:reference id="wa200003696" version="1.3.0.0" store="fr-FR" storeType="OMEX"/>
  <we:alternateReferences>
    <we:reference id="WA200003696" version="1.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table" Target="../tables/table2.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hyperlink" Target="https://support.microsoft.com/fr-fr/office/excel-functions-alphabetical-b3944572-255d-4efb-bb96-c6d90033e188" TargetMode="External"/><Relationship Id="rId7" Type="http://schemas.openxmlformats.org/officeDocument/2006/relationships/ctrlProp" Target="../ctrlProps/ctrlProp3.xml"/><Relationship Id="rId2" Type="http://schemas.openxmlformats.org/officeDocument/2006/relationships/hyperlink" Target="https://support.microsoft.com/en-us/office/excel-functions-alphabetical-b3944572-255d-4efb-bb96-c6d90033e188" TargetMode="External"/><Relationship Id="rId1" Type="http://schemas.openxmlformats.org/officeDocument/2006/relationships/hyperlink" Target="mailto:moreau@artofnet.ch" TargetMode="Externa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https://support.microsoft.com/fr-fr/office/vc-vc-fonction-2eef9f44-a084-4c61-bdd8-4fe4bb1b71b3"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11.bin"/><Relationship Id="rId4"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16A10-04F0-4999-A322-D0D0CBA3FDE8}">
  <sheetPr codeName="Sheet1">
    <tabColor theme="8" tint="-0.499984740745262"/>
  </sheetPr>
  <dimension ref="A2:I116"/>
  <sheetViews>
    <sheetView topLeftCell="A87" workbookViewId="0">
      <selection activeCell="A12" sqref="A12"/>
    </sheetView>
  </sheetViews>
  <sheetFormatPr defaultColWidth="9.140625" defaultRowHeight="15"/>
  <cols>
    <col min="2" max="2" width="24.85546875" customWidth="1"/>
    <col min="3" max="3" width="35.140625" bestFit="1" customWidth="1"/>
    <col min="4" max="4" width="83.85546875" bestFit="1" customWidth="1"/>
    <col min="5" max="5" width="87.140625" customWidth="1"/>
    <col min="6" max="7" width="35.140625" bestFit="1" customWidth="1"/>
    <col min="8" max="8" width="35.140625" customWidth="1"/>
    <col min="10" max="10" width="14.85546875" bestFit="1" customWidth="1"/>
    <col min="11" max="11" width="12.140625" bestFit="1" customWidth="1"/>
    <col min="17" max="17" width="13" bestFit="1" customWidth="1"/>
    <col min="18" max="18" width="12.28515625" bestFit="1" customWidth="1"/>
    <col min="19" max="19" width="14.7109375" bestFit="1" customWidth="1"/>
    <col min="20" max="20" width="13.85546875" bestFit="1" customWidth="1"/>
  </cols>
  <sheetData>
    <row r="2" spans="1:5" ht="21">
      <c r="A2" s="108" t="s">
        <v>0</v>
      </c>
      <c r="B2" s="108" t="s">
        <v>1</v>
      </c>
      <c r="C2" s="108" t="s">
        <v>2</v>
      </c>
      <c r="D2" s="108" t="s">
        <v>3</v>
      </c>
      <c r="E2" s="108" t="s">
        <v>4</v>
      </c>
    </row>
    <row r="3" spans="1:5" ht="21">
      <c r="A3" s="16">
        <v>10</v>
      </c>
      <c r="B3" s="16" t="s">
        <v>5</v>
      </c>
      <c r="C3" s="16" t="s">
        <v>6</v>
      </c>
      <c r="D3" s="16" t="s">
        <v>7</v>
      </c>
      <c r="E3" s="16" t="s">
        <v>8</v>
      </c>
    </row>
    <row r="4" spans="1:5" ht="21">
      <c r="A4" s="16">
        <v>20</v>
      </c>
      <c r="B4" s="16" t="s">
        <v>9</v>
      </c>
      <c r="C4" s="16" t="s">
        <v>10</v>
      </c>
      <c r="D4" s="16" t="s">
        <v>11</v>
      </c>
      <c r="E4" s="16" t="s">
        <v>12</v>
      </c>
    </row>
    <row r="5" spans="1:5" ht="21">
      <c r="A5" s="16">
        <v>30</v>
      </c>
      <c r="B5" s="16" t="s">
        <v>13</v>
      </c>
      <c r="C5" s="16" t="s">
        <v>14</v>
      </c>
      <c r="D5" s="16" t="s">
        <v>15</v>
      </c>
      <c r="E5" s="16" t="s">
        <v>16</v>
      </c>
    </row>
    <row r="6" spans="1:5" ht="21">
      <c r="A6" s="16">
        <v>40</v>
      </c>
      <c r="B6" s="16" t="s">
        <v>17</v>
      </c>
      <c r="C6" s="16" t="s">
        <v>17</v>
      </c>
      <c r="D6" s="16" t="s">
        <v>18</v>
      </c>
      <c r="E6" s="16" t="s">
        <v>19</v>
      </c>
    </row>
    <row r="7" spans="1:5" ht="21">
      <c r="A7" s="16">
        <v>50</v>
      </c>
      <c r="B7" s="16" t="s">
        <v>20</v>
      </c>
      <c r="C7" s="16" t="s">
        <v>20</v>
      </c>
      <c r="D7" s="16" t="s">
        <v>21</v>
      </c>
      <c r="E7" s="16" t="s">
        <v>22</v>
      </c>
    </row>
    <row r="8" spans="1:5" ht="21">
      <c r="A8" s="16">
        <v>60</v>
      </c>
      <c r="B8" s="16" t="s">
        <v>23</v>
      </c>
      <c r="C8" s="16" t="s">
        <v>24</v>
      </c>
      <c r="D8" s="16" t="s">
        <v>25</v>
      </c>
      <c r="E8" s="16" t="s">
        <v>26</v>
      </c>
    </row>
    <row r="9" spans="1:5" ht="21">
      <c r="A9" s="16">
        <v>70</v>
      </c>
      <c r="B9" s="16" t="s">
        <v>27</v>
      </c>
      <c r="C9" s="16" t="s">
        <v>28</v>
      </c>
      <c r="D9" s="16" t="s">
        <v>29</v>
      </c>
      <c r="E9" s="16" t="s">
        <v>30</v>
      </c>
    </row>
    <row r="10" spans="1:5" ht="21">
      <c r="A10" s="16">
        <v>80</v>
      </c>
      <c r="B10" s="16" t="s">
        <v>31</v>
      </c>
      <c r="C10" s="16" t="s">
        <v>32</v>
      </c>
      <c r="D10" s="16" t="s">
        <v>33</v>
      </c>
      <c r="E10" s="16" t="s">
        <v>34</v>
      </c>
    </row>
    <row r="11" spans="1:5" ht="21">
      <c r="A11" s="16">
        <v>90</v>
      </c>
      <c r="B11" s="16" t="s">
        <v>35</v>
      </c>
      <c r="C11" s="16" t="s">
        <v>36</v>
      </c>
      <c r="D11" s="16" t="s">
        <v>37</v>
      </c>
      <c r="E11" s="16" t="s">
        <v>38</v>
      </c>
    </row>
    <row r="12" spans="1:5" ht="21">
      <c r="A12" s="16">
        <v>100</v>
      </c>
      <c r="B12" s="16" t="s">
        <v>39</v>
      </c>
      <c r="C12" s="16" t="s">
        <v>40</v>
      </c>
      <c r="D12" s="16" t="s">
        <v>41</v>
      </c>
      <c r="E12" s="16" t="s">
        <v>42</v>
      </c>
    </row>
    <row r="13" spans="1:5" ht="21">
      <c r="A13" s="16">
        <v>110</v>
      </c>
      <c r="B13" s="16" t="s">
        <v>43</v>
      </c>
      <c r="C13" s="16" t="s">
        <v>44</v>
      </c>
      <c r="D13" s="16" t="s">
        <v>45</v>
      </c>
      <c r="E13" s="16" t="s">
        <v>46</v>
      </c>
    </row>
    <row r="14" spans="1:5" ht="21">
      <c r="A14" s="16">
        <v>120</v>
      </c>
      <c r="B14" s="16" t="s">
        <v>47</v>
      </c>
      <c r="C14" s="16" t="s">
        <v>48</v>
      </c>
      <c r="D14" s="16" t="s">
        <v>49</v>
      </c>
      <c r="E14" s="16" t="s">
        <v>50</v>
      </c>
    </row>
    <row r="15" spans="1:5" ht="21">
      <c r="A15" s="16">
        <v>130</v>
      </c>
      <c r="B15" s="16" t="s">
        <v>51</v>
      </c>
      <c r="C15" s="16" t="s">
        <v>52</v>
      </c>
      <c r="D15" s="16" t="s">
        <v>53</v>
      </c>
      <c r="E15" s="16" t="s">
        <v>54</v>
      </c>
    </row>
    <row r="16" spans="1:5" ht="21">
      <c r="A16" s="16">
        <v>140</v>
      </c>
      <c r="B16" s="16" t="s">
        <v>55</v>
      </c>
      <c r="C16" s="16" t="s">
        <v>56</v>
      </c>
      <c r="D16" s="16" t="s">
        <v>57</v>
      </c>
      <c r="E16" s="16" t="s">
        <v>58</v>
      </c>
    </row>
    <row r="17" spans="1:5" ht="21">
      <c r="A17" s="16">
        <v>150</v>
      </c>
      <c r="B17" s="16" t="s">
        <v>59</v>
      </c>
      <c r="C17" s="16" t="s">
        <v>60</v>
      </c>
      <c r="D17" s="16" t="s">
        <v>61</v>
      </c>
      <c r="E17" s="16" t="s">
        <v>62</v>
      </c>
    </row>
    <row r="18" spans="1:5" ht="21">
      <c r="A18" s="16">
        <v>160</v>
      </c>
      <c r="B18" s="16" t="s">
        <v>63</v>
      </c>
      <c r="C18" s="16" t="s">
        <v>64</v>
      </c>
      <c r="D18" s="16" t="s">
        <v>65</v>
      </c>
      <c r="E18" s="16" t="s">
        <v>66</v>
      </c>
    </row>
    <row r="19" spans="1:5" ht="105">
      <c r="A19" s="16">
        <v>170</v>
      </c>
      <c r="B19" s="16" t="s">
        <v>67</v>
      </c>
      <c r="C19" s="16" t="s">
        <v>68</v>
      </c>
      <c r="D19" s="130" t="s">
        <v>69</v>
      </c>
      <c r="E19" s="130" t="s">
        <v>70</v>
      </c>
    </row>
    <row r="20" spans="1:5" ht="21">
      <c r="A20" s="16">
        <v>180</v>
      </c>
      <c r="B20" s="16" t="s">
        <v>71</v>
      </c>
      <c r="C20" s="16" t="s">
        <v>72</v>
      </c>
      <c r="D20" s="16" t="s">
        <v>73</v>
      </c>
      <c r="E20" s="16" t="s">
        <v>74</v>
      </c>
    </row>
    <row r="21" spans="1:5" ht="21">
      <c r="A21" s="16">
        <v>190</v>
      </c>
      <c r="B21" s="16" t="s">
        <v>75</v>
      </c>
      <c r="C21" s="16" t="s">
        <v>75</v>
      </c>
      <c r="D21" s="16" t="s">
        <v>76</v>
      </c>
      <c r="E21" s="16" t="s">
        <v>77</v>
      </c>
    </row>
    <row r="22" spans="1:5" ht="21">
      <c r="A22" s="16">
        <v>200</v>
      </c>
      <c r="B22" s="16" t="s">
        <v>78</v>
      </c>
      <c r="C22" s="16" t="s">
        <v>78</v>
      </c>
      <c r="D22" s="16" t="s">
        <v>79</v>
      </c>
      <c r="E22" s="16" t="s">
        <v>80</v>
      </c>
    </row>
    <row r="23" spans="1:5" ht="21">
      <c r="A23" s="16">
        <v>210</v>
      </c>
      <c r="B23" s="16" t="s">
        <v>81</v>
      </c>
      <c r="C23" s="16" t="s">
        <v>81</v>
      </c>
      <c r="D23" s="16" t="s">
        <v>82</v>
      </c>
      <c r="E23" s="16" t="s">
        <v>83</v>
      </c>
    </row>
    <row r="24" spans="1:5" ht="21">
      <c r="A24" s="16">
        <v>220</v>
      </c>
      <c r="B24" s="16" t="s">
        <v>84</v>
      </c>
      <c r="C24" s="16" t="s">
        <v>84</v>
      </c>
      <c r="D24" s="16" t="s">
        <v>85</v>
      </c>
      <c r="E24" s="16" t="s">
        <v>86</v>
      </c>
    </row>
    <row r="25" spans="1:5" ht="21">
      <c r="A25" s="16">
        <v>230</v>
      </c>
      <c r="B25" s="16" t="s">
        <v>87</v>
      </c>
      <c r="C25" s="16" t="s">
        <v>88</v>
      </c>
      <c r="D25" s="16" t="s">
        <v>89</v>
      </c>
      <c r="E25" s="16" t="s">
        <v>90</v>
      </c>
    </row>
    <row r="26" spans="1:5" ht="21">
      <c r="A26" s="16">
        <v>240</v>
      </c>
      <c r="B26" s="16" t="s">
        <v>91</v>
      </c>
      <c r="C26" s="16" t="s">
        <v>92</v>
      </c>
      <c r="D26" s="16" t="s">
        <v>93</v>
      </c>
      <c r="E26" s="16" t="s">
        <v>94</v>
      </c>
    </row>
    <row r="27" spans="1:5" ht="21">
      <c r="A27" s="16">
        <v>250</v>
      </c>
      <c r="B27" s="16" t="s">
        <v>95</v>
      </c>
      <c r="C27" s="16" t="s">
        <v>95</v>
      </c>
      <c r="D27" s="16" t="s">
        <v>96</v>
      </c>
      <c r="E27" s="16" t="s">
        <v>97</v>
      </c>
    </row>
    <row r="28" spans="1:5" ht="21">
      <c r="A28" s="16">
        <v>260</v>
      </c>
      <c r="B28" s="16" t="s">
        <v>98</v>
      </c>
      <c r="C28" s="16" t="s">
        <v>98</v>
      </c>
      <c r="D28" s="16" t="s">
        <v>99</v>
      </c>
      <c r="E28" s="16" t="s">
        <v>100</v>
      </c>
    </row>
    <row r="29" spans="1:5" ht="21">
      <c r="A29" s="16">
        <v>270</v>
      </c>
      <c r="B29" s="16" t="s">
        <v>101</v>
      </c>
      <c r="C29" s="16" t="s">
        <v>102</v>
      </c>
      <c r="D29" s="16" t="s">
        <v>103</v>
      </c>
      <c r="E29" s="16" t="s">
        <v>104</v>
      </c>
    </row>
    <row r="30" spans="1:5" ht="21">
      <c r="A30" s="16">
        <v>280</v>
      </c>
      <c r="B30" s="16" t="s">
        <v>105</v>
      </c>
      <c r="C30" s="16" t="s">
        <v>106</v>
      </c>
      <c r="D30" s="16" t="s">
        <v>107</v>
      </c>
      <c r="E30" s="16" t="s">
        <v>108</v>
      </c>
    </row>
    <row r="31" spans="1:5" ht="21">
      <c r="A31" s="16">
        <v>290</v>
      </c>
      <c r="B31" s="16" t="s">
        <v>109</v>
      </c>
      <c r="C31" s="16" t="s">
        <v>110</v>
      </c>
      <c r="D31" s="16" t="s">
        <v>111</v>
      </c>
      <c r="E31" s="16" t="s">
        <v>112</v>
      </c>
    </row>
    <row r="32" spans="1:5" ht="21">
      <c r="A32" s="16">
        <v>300</v>
      </c>
      <c r="B32" s="16" t="s">
        <v>113</v>
      </c>
      <c r="C32" s="16" t="s">
        <v>113</v>
      </c>
      <c r="D32" s="16" t="s">
        <v>114</v>
      </c>
      <c r="E32" s="16" t="s">
        <v>115</v>
      </c>
    </row>
    <row r="33" spans="1:5" ht="21">
      <c r="A33" s="16">
        <v>310</v>
      </c>
      <c r="B33" s="16" t="s">
        <v>116</v>
      </c>
      <c r="C33" s="16" t="s">
        <v>117</v>
      </c>
      <c r="D33" s="16" t="s">
        <v>118</v>
      </c>
      <c r="E33" s="16" t="s">
        <v>119</v>
      </c>
    </row>
    <row r="34" spans="1:5" ht="21">
      <c r="A34" s="16">
        <v>320</v>
      </c>
      <c r="B34" s="16" t="s">
        <v>120</v>
      </c>
      <c r="C34" s="16" t="s">
        <v>121</v>
      </c>
      <c r="D34" s="16" t="s">
        <v>122</v>
      </c>
      <c r="E34" s="16" t="s">
        <v>123</v>
      </c>
    </row>
    <row r="35" spans="1:5" ht="21">
      <c r="A35" s="16">
        <v>330</v>
      </c>
      <c r="B35" s="16" t="s">
        <v>124</v>
      </c>
      <c r="C35" s="16" t="s">
        <v>125</v>
      </c>
      <c r="D35" s="16" t="s">
        <v>126</v>
      </c>
      <c r="E35" s="16" t="s">
        <v>127</v>
      </c>
    </row>
    <row r="36" spans="1:5" ht="21">
      <c r="A36" s="16">
        <v>340</v>
      </c>
      <c r="B36" s="16" t="s">
        <v>128</v>
      </c>
      <c r="C36" s="16" t="s">
        <v>128</v>
      </c>
      <c r="D36" s="16" t="s">
        <v>129</v>
      </c>
      <c r="E36" s="16" t="s">
        <v>130</v>
      </c>
    </row>
    <row r="37" spans="1:5" ht="21">
      <c r="A37" s="16">
        <v>350</v>
      </c>
      <c r="B37" s="16" t="s">
        <v>131</v>
      </c>
      <c r="C37" s="16" t="s">
        <v>132</v>
      </c>
      <c r="D37" s="16" t="s">
        <v>133</v>
      </c>
      <c r="E37" s="16" t="s">
        <v>134</v>
      </c>
    </row>
    <row r="38" spans="1:5" ht="21">
      <c r="A38" s="16">
        <v>360</v>
      </c>
      <c r="B38" s="16" t="s">
        <v>135</v>
      </c>
      <c r="C38" s="16" t="s">
        <v>136</v>
      </c>
      <c r="D38" s="16" t="s">
        <v>137</v>
      </c>
      <c r="E38" s="16" t="s">
        <v>138</v>
      </c>
    </row>
    <row r="39" spans="1:5" ht="21">
      <c r="A39" s="16">
        <v>370</v>
      </c>
      <c r="B39" s="16" t="s">
        <v>139</v>
      </c>
      <c r="C39" s="16" t="s">
        <v>140</v>
      </c>
      <c r="D39" s="16" t="s">
        <v>141</v>
      </c>
      <c r="E39" s="16" t="s">
        <v>142</v>
      </c>
    </row>
    <row r="40" spans="1:5" ht="21">
      <c r="A40" s="16">
        <v>380</v>
      </c>
      <c r="B40" s="16" t="s">
        <v>143</v>
      </c>
      <c r="C40" s="16" t="s">
        <v>144</v>
      </c>
      <c r="D40" s="16" t="s">
        <v>145</v>
      </c>
      <c r="E40" s="16" t="s">
        <v>146</v>
      </c>
    </row>
    <row r="41" spans="1:5" ht="21">
      <c r="A41" s="16">
        <v>390</v>
      </c>
      <c r="B41" s="16" t="s">
        <v>147</v>
      </c>
      <c r="C41" s="16" t="s">
        <v>148</v>
      </c>
      <c r="D41" s="106" t="s">
        <v>149</v>
      </c>
      <c r="E41" s="107" t="s">
        <v>150</v>
      </c>
    </row>
    <row r="42" spans="1:5" ht="21">
      <c r="A42" s="16">
        <v>400</v>
      </c>
      <c r="B42" s="16" t="s">
        <v>151</v>
      </c>
      <c r="C42" s="16" t="s">
        <v>152</v>
      </c>
      <c r="D42" s="106" t="s">
        <v>153</v>
      </c>
      <c r="E42" s="107" t="s">
        <v>154</v>
      </c>
    </row>
    <row r="43" spans="1:5" ht="21">
      <c r="A43" s="16">
        <v>410</v>
      </c>
      <c r="B43" s="16" t="s">
        <v>155</v>
      </c>
      <c r="C43" s="16" t="s">
        <v>156</v>
      </c>
      <c r="D43" s="106" t="s">
        <v>157</v>
      </c>
      <c r="E43" s="107" t="s">
        <v>158</v>
      </c>
    </row>
    <row r="44" spans="1:5" ht="21">
      <c r="A44" s="16">
        <v>420</v>
      </c>
      <c r="B44" s="16" t="s">
        <v>159</v>
      </c>
      <c r="C44" s="16" t="s">
        <v>160</v>
      </c>
      <c r="D44" s="106" t="s">
        <v>161</v>
      </c>
      <c r="E44" s="107" t="s">
        <v>162</v>
      </c>
    </row>
    <row r="45" spans="1:5" ht="21">
      <c r="A45" s="16">
        <v>430</v>
      </c>
      <c r="B45" s="16" t="s">
        <v>163</v>
      </c>
      <c r="C45" s="16" t="s">
        <v>164</v>
      </c>
      <c r="D45" s="106" t="s">
        <v>165</v>
      </c>
      <c r="E45" s="107" t="s">
        <v>166</v>
      </c>
    </row>
    <row r="46" spans="1:5" ht="21">
      <c r="A46" s="16">
        <v>440</v>
      </c>
      <c r="B46" s="16" t="s">
        <v>167</v>
      </c>
      <c r="C46" s="16" t="s">
        <v>168</v>
      </c>
      <c r="D46" s="106" t="s">
        <v>169</v>
      </c>
      <c r="E46" s="107" t="s">
        <v>170</v>
      </c>
    </row>
    <row r="47" spans="1:5" ht="42">
      <c r="A47" s="16">
        <v>450</v>
      </c>
      <c r="B47" s="16" t="s">
        <v>171</v>
      </c>
      <c r="C47" s="16" t="s">
        <v>171</v>
      </c>
      <c r="D47" s="106" t="s">
        <v>172</v>
      </c>
      <c r="E47" s="107" t="s">
        <v>173</v>
      </c>
    </row>
    <row r="48" spans="1:5" ht="42">
      <c r="A48" s="16">
        <v>460</v>
      </c>
      <c r="B48" s="16" t="s">
        <v>174</v>
      </c>
      <c r="C48" s="16" t="s">
        <v>175</v>
      </c>
      <c r="D48" s="106" t="s">
        <v>176</v>
      </c>
      <c r="E48" s="107" t="s">
        <v>177</v>
      </c>
    </row>
    <row r="49" spans="1:9" ht="42">
      <c r="A49" s="16">
        <v>470</v>
      </c>
      <c r="B49" s="16" t="s">
        <v>178</v>
      </c>
      <c r="C49" s="16" t="s">
        <v>179</v>
      </c>
      <c r="D49" s="106" t="s">
        <v>180</v>
      </c>
      <c r="E49" s="107" t="s">
        <v>181</v>
      </c>
    </row>
    <row r="50" spans="1:9" ht="42">
      <c r="A50" s="16">
        <v>480</v>
      </c>
      <c r="B50" s="16" t="s">
        <v>182</v>
      </c>
      <c r="C50" s="16" t="s">
        <v>183</v>
      </c>
      <c r="D50" s="106" t="s">
        <v>184</v>
      </c>
      <c r="E50" s="107" t="s">
        <v>185</v>
      </c>
    </row>
    <row r="51" spans="1:9" ht="21">
      <c r="A51" s="16">
        <v>490</v>
      </c>
      <c r="B51" s="16" t="s">
        <v>186</v>
      </c>
      <c r="C51" s="16" t="s">
        <v>187</v>
      </c>
      <c r="D51" s="106" t="s">
        <v>188</v>
      </c>
      <c r="E51" s="107" t="s">
        <v>189</v>
      </c>
    </row>
    <row r="52" spans="1:9" ht="21">
      <c r="A52" s="16">
        <v>500</v>
      </c>
      <c r="B52" s="16" t="s">
        <v>116</v>
      </c>
      <c r="C52" s="16" t="s">
        <v>117</v>
      </c>
      <c r="D52" s="106" t="s">
        <v>190</v>
      </c>
      <c r="E52" s="107" t="s">
        <v>191</v>
      </c>
    </row>
    <row r="53" spans="1:9" ht="42">
      <c r="A53" s="16">
        <v>510</v>
      </c>
      <c r="B53" s="16" t="s">
        <v>192</v>
      </c>
      <c r="C53" s="16" t="s">
        <v>193</v>
      </c>
      <c r="D53" s="106" t="s">
        <v>194</v>
      </c>
      <c r="E53" s="107" t="s">
        <v>195</v>
      </c>
    </row>
    <row r="54" spans="1:9" ht="21">
      <c r="A54" s="16">
        <v>520</v>
      </c>
      <c r="B54" s="16" t="s">
        <v>196</v>
      </c>
      <c r="C54" s="16" t="s">
        <v>197</v>
      </c>
      <c r="D54" s="106" t="s">
        <v>198</v>
      </c>
      <c r="E54" s="107" t="s">
        <v>199</v>
      </c>
    </row>
    <row r="55" spans="1:9" ht="42">
      <c r="A55" s="16">
        <v>530</v>
      </c>
      <c r="B55" s="16" t="s">
        <v>135</v>
      </c>
      <c r="C55" s="16" t="s">
        <v>200</v>
      </c>
      <c r="D55" s="106" t="s">
        <v>201</v>
      </c>
      <c r="E55" s="107" t="s">
        <v>202</v>
      </c>
    </row>
    <row r="56" spans="1:9" ht="21">
      <c r="A56" s="16">
        <v>540</v>
      </c>
      <c r="B56" s="16" t="s">
        <v>203</v>
      </c>
      <c r="C56" s="16" t="s">
        <v>204</v>
      </c>
      <c r="D56" s="106" t="s">
        <v>205</v>
      </c>
      <c r="E56" s="107" t="s">
        <v>206</v>
      </c>
    </row>
    <row r="57" spans="1:9" ht="42">
      <c r="A57" s="16">
        <v>550</v>
      </c>
      <c r="B57" s="16" t="s">
        <v>131</v>
      </c>
      <c r="C57" s="16" t="s">
        <v>132</v>
      </c>
      <c r="D57" s="106" t="s">
        <v>207</v>
      </c>
      <c r="E57" s="107" t="s">
        <v>208</v>
      </c>
      <c r="G57" s="83"/>
      <c r="H57" s="83"/>
      <c r="I57" s="83"/>
    </row>
    <row r="58" spans="1:9" ht="21">
      <c r="A58" s="16">
        <v>560</v>
      </c>
      <c r="B58" s="16" t="s">
        <v>209</v>
      </c>
      <c r="C58" s="16" t="s">
        <v>210</v>
      </c>
      <c r="D58" s="106" t="s">
        <v>211</v>
      </c>
      <c r="E58" s="107" t="s">
        <v>212</v>
      </c>
      <c r="G58" s="85"/>
      <c r="H58" s="84"/>
      <c r="I58" s="84"/>
    </row>
    <row r="59" spans="1:9" ht="21">
      <c r="A59" s="16">
        <v>570</v>
      </c>
      <c r="B59" s="16" t="s">
        <v>213</v>
      </c>
      <c r="C59" s="16" t="s">
        <v>214</v>
      </c>
      <c r="D59" s="106" t="s">
        <v>215</v>
      </c>
      <c r="E59" s="107" t="s">
        <v>216</v>
      </c>
      <c r="G59" s="85"/>
      <c r="H59" s="84"/>
      <c r="I59" s="84"/>
    </row>
    <row r="60" spans="1:9" ht="21">
      <c r="A60" s="16">
        <v>580</v>
      </c>
      <c r="B60" s="16" t="s">
        <v>217</v>
      </c>
      <c r="C60" s="16" t="s">
        <v>218</v>
      </c>
      <c r="D60" s="106" t="s">
        <v>219</v>
      </c>
      <c r="E60" s="107" t="s">
        <v>220</v>
      </c>
      <c r="G60" s="85"/>
      <c r="H60" s="84"/>
      <c r="I60" s="84"/>
    </row>
    <row r="61" spans="1:9" ht="21">
      <c r="A61" s="16">
        <v>590</v>
      </c>
      <c r="B61" s="16" t="s">
        <v>221</v>
      </c>
      <c r="C61" s="16" t="s">
        <v>222</v>
      </c>
      <c r="D61" s="106" t="s">
        <v>223</v>
      </c>
      <c r="E61" s="107" t="s">
        <v>224</v>
      </c>
      <c r="G61" s="85"/>
      <c r="H61" s="84"/>
      <c r="I61" s="84"/>
    </row>
    <row r="62" spans="1:9" ht="21">
      <c r="A62" s="16">
        <v>600</v>
      </c>
      <c r="B62" s="16" t="s">
        <v>225</v>
      </c>
      <c r="C62" s="16" t="s">
        <v>226</v>
      </c>
      <c r="D62" s="106" t="s">
        <v>227</v>
      </c>
      <c r="E62" s="107" t="s">
        <v>228</v>
      </c>
      <c r="G62" s="85"/>
      <c r="H62" s="84"/>
      <c r="I62" s="84"/>
    </row>
    <row r="63" spans="1:9" ht="21">
      <c r="A63" s="16">
        <v>610</v>
      </c>
      <c r="B63" s="16" t="s">
        <v>23</v>
      </c>
      <c r="C63" s="16" t="s">
        <v>24</v>
      </c>
      <c r="D63" s="106" t="s">
        <v>25</v>
      </c>
      <c r="E63" s="107" t="s">
        <v>26</v>
      </c>
      <c r="G63" s="85"/>
      <c r="H63" s="84"/>
      <c r="I63" s="84"/>
    </row>
    <row r="64" spans="1:9" ht="21">
      <c r="A64" s="16">
        <v>620</v>
      </c>
      <c r="B64" s="16" t="s">
        <v>229</v>
      </c>
      <c r="C64" s="16" t="s">
        <v>230</v>
      </c>
      <c r="D64" s="106" t="s">
        <v>231</v>
      </c>
      <c r="E64" s="107" t="s">
        <v>232</v>
      </c>
      <c r="G64" s="85"/>
      <c r="H64" s="84"/>
      <c r="I64" s="84"/>
    </row>
    <row r="65" spans="1:9" ht="21">
      <c r="A65" s="16">
        <v>630</v>
      </c>
      <c r="B65" s="16" t="s">
        <v>233</v>
      </c>
      <c r="C65" s="16" t="s">
        <v>234</v>
      </c>
      <c r="D65" s="106" t="s">
        <v>235</v>
      </c>
      <c r="E65" s="107" t="s">
        <v>236</v>
      </c>
      <c r="G65" s="85"/>
      <c r="H65" s="84"/>
      <c r="I65" s="84"/>
    </row>
    <row r="66" spans="1:9" ht="21">
      <c r="A66" s="16">
        <v>640</v>
      </c>
      <c r="B66" s="16" t="s">
        <v>237</v>
      </c>
      <c r="C66" s="16" t="s">
        <v>238</v>
      </c>
      <c r="D66" s="106" t="s">
        <v>239</v>
      </c>
      <c r="E66" s="107" t="s">
        <v>240</v>
      </c>
      <c r="G66" s="85"/>
      <c r="H66" s="84"/>
      <c r="I66" s="84"/>
    </row>
    <row r="67" spans="1:9" ht="21">
      <c r="A67" s="16">
        <v>650</v>
      </c>
      <c r="B67" s="16" t="s">
        <v>241</v>
      </c>
      <c r="C67" s="16" t="s">
        <v>241</v>
      </c>
      <c r="D67" s="106" t="s">
        <v>242</v>
      </c>
      <c r="E67" s="107" t="s">
        <v>243</v>
      </c>
      <c r="G67" s="85"/>
      <c r="H67" s="84"/>
      <c r="I67" s="84"/>
    </row>
    <row r="68" spans="1:9" ht="42">
      <c r="A68" s="16">
        <v>660</v>
      </c>
      <c r="B68" s="16" t="s">
        <v>244</v>
      </c>
      <c r="C68" s="16" t="s">
        <v>245</v>
      </c>
      <c r="D68" s="106" t="s">
        <v>246</v>
      </c>
      <c r="E68" s="107" t="s">
        <v>247</v>
      </c>
      <c r="G68" s="85"/>
      <c r="H68" s="84"/>
      <c r="I68" s="84"/>
    </row>
    <row r="69" spans="1:9" ht="21">
      <c r="A69" s="16">
        <v>670</v>
      </c>
      <c r="B69" s="16" t="s">
        <v>248</v>
      </c>
      <c r="C69" s="16" t="s">
        <v>248</v>
      </c>
      <c r="D69" s="106" t="s">
        <v>249</v>
      </c>
      <c r="E69" s="107" t="s">
        <v>250</v>
      </c>
      <c r="G69" s="85"/>
      <c r="H69" s="84"/>
      <c r="I69" s="84"/>
    </row>
    <row r="70" spans="1:9" ht="21">
      <c r="A70" s="16">
        <v>680</v>
      </c>
      <c r="B70" s="16" t="s">
        <v>251</v>
      </c>
      <c r="C70" s="16" t="s">
        <v>252</v>
      </c>
      <c r="D70" s="106" t="s">
        <v>253</v>
      </c>
      <c r="E70" s="107" t="s">
        <v>254</v>
      </c>
      <c r="G70" s="85"/>
      <c r="H70" s="84"/>
      <c r="I70" s="84"/>
    </row>
    <row r="71" spans="1:9" ht="21">
      <c r="A71" s="16">
        <v>690</v>
      </c>
      <c r="B71" s="16" t="s">
        <v>255</v>
      </c>
      <c r="C71" s="16" t="s">
        <v>256</v>
      </c>
      <c r="D71" s="106" t="s">
        <v>257</v>
      </c>
      <c r="E71" s="107" t="s">
        <v>258</v>
      </c>
    </row>
    <row r="72" spans="1:9" ht="21">
      <c r="A72" s="16">
        <v>700</v>
      </c>
      <c r="B72" s="16" t="s">
        <v>259</v>
      </c>
      <c r="C72" s="16" t="s">
        <v>260</v>
      </c>
      <c r="D72" s="106" t="s">
        <v>261</v>
      </c>
      <c r="E72" s="107" t="s">
        <v>262</v>
      </c>
    </row>
    <row r="73" spans="1:9" ht="21">
      <c r="A73" s="16">
        <v>710</v>
      </c>
      <c r="B73" s="16" t="s">
        <v>263</v>
      </c>
      <c r="C73" s="16" t="s">
        <v>264</v>
      </c>
      <c r="D73" s="106" t="s">
        <v>265</v>
      </c>
      <c r="E73" s="107" t="s">
        <v>266</v>
      </c>
    </row>
    <row r="74" spans="1:9" ht="21">
      <c r="A74" s="16">
        <v>720</v>
      </c>
      <c r="B74" s="16" t="s">
        <v>267</v>
      </c>
      <c r="C74" s="16" t="s">
        <v>268</v>
      </c>
      <c r="D74" s="106" t="s">
        <v>269</v>
      </c>
      <c r="E74" s="107" t="s">
        <v>270</v>
      </c>
    </row>
    <row r="75" spans="1:9" ht="21">
      <c r="A75" s="16">
        <v>730</v>
      </c>
      <c r="B75" s="16" t="s">
        <v>271</v>
      </c>
      <c r="C75" s="16" t="s">
        <v>272</v>
      </c>
      <c r="D75" s="106" t="s">
        <v>273</v>
      </c>
      <c r="E75" s="107" t="s">
        <v>274</v>
      </c>
    </row>
    <row r="76" spans="1:9" ht="21">
      <c r="A76" s="16">
        <v>740</v>
      </c>
      <c r="B76" s="16" t="s">
        <v>275</v>
      </c>
      <c r="C76" s="16" t="s">
        <v>276</v>
      </c>
      <c r="D76" s="106" t="s">
        <v>277</v>
      </c>
      <c r="E76" s="107" t="s">
        <v>278</v>
      </c>
    </row>
    <row r="77" spans="1:9" ht="21">
      <c r="A77" s="16">
        <v>750</v>
      </c>
      <c r="B77" s="16" t="s">
        <v>279</v>
      </c>
      <c r="C77" s="16" t="s">
        <v>279</v>
      </c>
      <c r="D77" s="106" t="s">
        <v>280</v>
      </c>
      <c r="E77" s="107" t="s">
        <v>281</v>
      </c>
    </row>
    <row r="78" spans="1:9" ht="21">
      <c r="A78" s="106">
        <v>760</v>
      </c>
      <c r="B78" s="16" t="s">
        <v>282</v>
      </c>
      <c r="C78" s="16" t="s">
        <v>283</v>
      </c>
      <c r="D78" s="106" t="s">
        <v>284</v>
      </c>
      <c r="E78" s="107" t="s">
        <v>285</v>
      </c>
    </row>
    <row r="79" spans="1:9" ht="21">
      <c r="A79" s="16">
        <v>770</v>
      </c>
      <c r="B79" s="106" t="s">
        <v>286</v>
      </c>
      <c r="C79" s="16" t="s">
        <v>287</v>
      </c>
      <c r="D79" s="16" t="s">
        <v>288</v>
      </c>
      <c r="E79" s="16" t="s">
        <v>289</v>
      </c>
    </row>
    <row r="80" spans="1:9" ht="21">
      <c r="A80" s="16">
        <v>780</v>
      </c>
      <c r="B80" s="16" t="s">
        <v>290</v>
      </c>
      <c r="C80" s="16" t="s">
        <v>291</v>
      </c>
      <c r="D80" s="106" t="s">
        <v>292</v>
      </c>
      <c r="E80" s="107" t="s">
        <v>293</v>
      </c>
    </row>
    <row r="81" spans="1:5" ht="21">
      <c r="A81" s="16">
        <v>790</v>
      </c>
      <c r="B81" s="16" t="s">
        <v>294</v>
      </c>
      <c r="C81" s="16" t="s">
        <v>295</v>
      </c>
      <c r="D81" s="106" t="s">
        <v>296</v>
      </c>
      <c r="E81" s="107" t="s">
        <v>297</v>
      </c>
    </row>
    <row r="82" spans="1:5" ht="21">
      <c r="A82" s="16">
        <v>800</v>
      </c>
      <c r="B82" s="16" t="s">
        <v>298</v>
      </c>
      <c r="C82" s="16" t="s">
        <v>299</v>
      </c>
      <c r="D82" s="106" t="s">
        <v>300</v>
      </c>
      <c r="E82" s="107" t="s">
        <v>301</v>
      </c>
    </row>
    <row r="83" spans="1:5" ht="21">
      <c r="A83" s="16">
        <v>810</v>
      </c>
      <c r="B83" s="16" t="s">
        <v>302</v>
      </c>
      <c r="C83" s="16" t="s">
        <v>303</v>
      </c>
      <c r="D83" s="106" t="s">
        <v>304</v>
      </c>
      <c r="E83" s="107" t="s">
        <v>305</v>
      </c>
    </row>
    <row r="84" spans="1:5" ht="21">
      <c r="A84" s="106">
        <v>820</v>
      </c>
      <c r="B84" s="16" t="s">
        <v>306</v>
      </c>
      <c r="C84" s="16" t="s">
        <v>307</v>
      </c>
      <c r="D84" s="106" t="s">
        <v>308</v>
      </c>
      <c r="E84" s="107" t="s">
        <v>309</v>
      </c>
    </row>
    <row r="85" spans="1:5" ht="42">
      <c r="A85" s="106">
        <v>830</v>
      </c>
      <c r="B85" s="106" t="s">
        <v>310</v>
      </c>
      <c r="C85" s="106" t="s">
        <v>310</v>
      </c>
      <c r="D85" s="106" t="s">
        <v>311</v>
      </c>
      <c r="E85" s="107" t="s">
        <v>312</v>
      </c>
    </row>
    <row r="86" spans="1:5" ht="42">
      <c r="A86" s="106">
        <v>840</v>
      </c>
      <c r="B86" s="106" t="s">
        <v>313</v>
      </c>
      <c r="C86" s="106" t="s">
        <v>314</v>
      </c>
      <c r="D86" s="106" t="s">
        <v>315</v>
      </c>
      <c r="E86" s="107" t="s">
        <v>316</v>
      </c>
    </row>
    <row r="87" spans="1:5" ht="84">
      <c r="A87" s="106">
        <v>850</v>
      </c>
      <c r="B87" s="106" t="s">
        <v>317</v>
      </c>
      <c r="C87" s="106" t="s">
        <v>318</v>
      </c>
      <c r="D87" s="106" t="s">
        <v>319</v>
      </c>
      <c r="E87" s="106" t="s">
        <v>320</v>
      </c>
    </row>
    <row r="88" spans="1:5" ht="42">
      <c r="A88" s="106">
        <v>860</v>
      </c>
      <c r="B88" s="106" t="s">
        <v>321</v>
      </c>
      <c r="C88" s="106" t="s">
        <v>322</v>
      </c>
      <c r="D88" s="106" t="s">
        <v>323</v>
      </c>
      <c r="E88" s="107" t="s">
        <v>324</v>
      </c>
    </row>
    <row r="89" spans="1:5" ht="21">
      <c r="A89" s="106">
        <v>870</v>
      </c>
      <c r="B89" s="106" t="s">
        <v>325</v>
      </c>
      <c r="C89" s="106" t="s">
        <v>326</v>
      </c>
      <c r="D89" s="106" t="s">
        <v>327</v>
      </c>
      <c r="E89" s="107" t="s">
        <v>328</v>
      </c>
    </row>
    <row r="90" spans="1:5" ht="21">
      <c r="A90" s="106">
        <v>880</v>
      </c>
      <c r="B90" s="106" t="s">
        <v>329</v>
      </c>
      <c r="C90" s="106" t="s">
        <v>330</v>
      </c>
      <c r="D90" s="106" t="s">
        <v>331</v>
      </c>
      <c r="E90" s="107" t="s">
        <v>332</v>
      </c>
    </row>
    <row r="91" spans="1:5" ht="21">
      <c r="A91" s="106">
        <v>890</v>
      </c>
      <c r="B91" s="106" t="s">
        <v>333</v>
      </c>
      <c r="C91" s="106" t="s">
        <v>334</v>
      </c>
      <c r="D91" s="106" t="s">
        <v>335</v>
      </c>
      <c r="E91" s="107" t="s">
        <v>336</v>
      </c>
    </row>
    <row r="92" spans="1:5" ht="21">
      <c r="A92" s="106">
        <v>900</v>
      </c>
      <c r="B92" s="106" t="s">
        <v>337</v>
      </c>
      <c r="C92" s="106" t="s">
        <v>338</v>
      </c>
      <c r="D92" s="106" t="s">
        <v>339</v>
      </c>
      <c r="E92" s="107" t="s">
        <v>340</v>
      </c>
    </row>
    <row r="93" spans="1:5" ht="42">
      <c r="A93" s="106">
        <v>910</v>
      </c>
      <c r="B93" s="106" t="s">
        <v>341</v>
      </c>
      <c r="C93" s="106" t="s">
        <v>342</v>
      </c>
      <c r="D93" s="106" t="s">
        <v>343</v>
      </c>
      <c r="E93" s="107" t="s">
        <v>344</v>
      </c>
    </row>
    <row r="94" spans="1:5" ht="21">
      <c r="A94" s="16">
        <v>920</v>
      </c>
      <c r="B94" s="106" t="s">
        <v>345</v>
      </c>
      <c r="C94" s="106" t="s">
        <v>346</v>
      </c>
      <c r="D94" s="107" t="s">
        <v>347</v>
      </c>
      <c r="E94" s="107" t="s">
        <v>348</v>
      </c>
    </row>
    <row r="95" spans="1:5" ht="21">
      <c r="A95" s="16">
        <v>930</v>
      </c>
      <c r="B95" s="106" t="s">
        <v>349</v>
      </c>
      <c r="C95" s="106" t="s">
        <v>350</v>
      </c>
      <c r="D95" s="106" t="s">
        <v>351</v>
      </c>
      <c r="E95" s="107" t="s">
        <v>352</v>
      </c>
    </row>
    <row r="96" spans="1:5" ht="21">
      <c r="A96" s="16">
        <v>940</v>
      </c>
      <c r="B96" s="106" t="s">
        <v>353</v>
      </c>
      <c r="C96" s="106" t="s">
        <v>354</v>
      </c>
      <c r="D96" s="107" t="s">
        <v>355</v>
      </c>
      <c r="E96" s="107" t="s">
        <v>356</v>
      </c>
    </row>
    <row r="97" spans="1:5" ht="21">
      <c r="A97" s="16">
        <v>950</v>
      </c>
      <c r="B97" s="106" t="s">
        <v>357</v>
      </c>
      <c r="C97" s="106" t="s">
        <v>358</v>
      </c>
      <c r="D97" s="107" t="s">
        <v>359</v>
      </c>
      <c r="E97" s="107" t="s">
        <v>360</v>
      </c>
    </row>
    <row r="98" spans="1:5" ht="21">
      <c r="A98" s="16">
        <v>960</v>
      </c>
      <c r="B98" s="106" t="s">
        <v>361</v>
      </c>
      <c r="C98" s="106" t="s">
        <v>362</v>
      </c>
      <c r="D98" s="106" t="s">
        <v>363</v>
      </c>
      <c r="E98" s="106" t="s">
        <v>364</v>
      </c>
    </row>
    <row r="99" spans="1:5" ht="21">
      <c r="A99" s="16">
        <v>970</v>
      </c>
      <c r="B99" s="106" t="s">
        <v>109</v>
      </c>
      <c r="C99" s="106" t="s">
        <v>365</v>
      </c>
      <c r="D99" s="131" t="s">
        <v>366</v>
      </c>
      <c r="E99" s="16" t="s">
        <v>367</v>
      </c>
    </row>
    <row r="100" spans="1:5" s="135" customFormat="1" ht="52.5">
      <c r="A100" s="107">
        <v>980</v>
      </c>
      <c r="B100" s="106" t="s">
        <v>143</v>
      </c>
      <c r="C100" s="106" t="s">
        <v>368</v>
      </c>
      <c r="D100" s="134" t="s">
        <v>369</v>
      </c>
      <c r="E100" s="106" t="s">
        <v>370</v>
      </c>
    </row>
    <row r="101" spans="1:5">
      <c r="B101" s="85"/>
      <c r="C101" s="85"/>
      <c r="D101" s="84"/>
      <c r="E101" s="84"/>
    </row>
    <row r="102" spans="1:5">
      <c r="B102" s="85"/>
      <c r="C102" s="85"/>
      <c r="D102" s="84"/>
      <c r="E102" s="84"/>
    </row>
    <row r="103" spans="1:5">
      <c r="B103" s="85"/>
      <c r="C103" s="85"/>
      <c r="D103" s="84"/>
      <c r="E103" s="84"/>
    </row>
    <row r="104" spans="1:5">
      <c r="B104" s="85"/>
      <c r="C104" s="85"/>
      <c r="D104" s="84"/>
      <c r="E104" s="84"/>
    </row>
    <row r="105" spans="1:5">
      <c r="B105" s="85"/>
      <c r="C105" s="85"/>
      <c r="D105" s="84"/>
      <c r="E105" s="84"/>
    </row>
    <row r="106" spans="1:5">
      <c r="B106" s="85"/>
      <c r="C106" s="85"/>
      <c r="D106" s="84"/>
      <c r="E106" s="84"/>
    </row>
    <row r="107" spans="1:5">
      <c r="B107" s="85"/>
      <c r="C107" s="85"/>
      <c r="D107" s="84"/>
      <c r="E107" s="84"/>
    </row>
    <row r="108" spans="1:5">
      <c r="B108" s="85"/>
      <c r="C108" s="85"/>
      <c r="D108" s="84"/>
      <c r="E108" s="84"/>
    </row>
    <row r="109" spans="1:5">
      <c r="B109" s="85"/>
      <c r="C109" s="85"/>
      <c r="D109" s="84"/>
      <c r="E109" s="84"/>
    </row>
    <row r="110" spans="1:5">
      <c r="B110" s="85"/>
      <c r="C110" s="85"/>
      <c r="D110" s="84"/>
      <c r="E110" s="84"/>
    </row>
    <row r="111" spans="1:5">
      <c r="B111" s="85"/>
      <c r="C111" s="85"/>
      <c r="D111" s="84"/>
      <c r="E111" s="84"/>
    </row>
    <row r="112" spans="1:5">
      <c r="B112" s="85"/>
      <c r="C112" s="85"/>
      <c r="D112" s="84"/>
      <c r="E112" s="84"/>
    </row>
    <row r="113" spans="2:5">
      <c r="B113" s="85"/>
      <c r="C113" s="85"/>
      <c r="D113" s="84"/>
      <c r="E113" s="84"/>
    </row>
    <row r="114" spans="2:5">
      <c r="B114" s="85"/>
      <c r="C114" s="85"/>
      <c r="D114" s="84"/>
      <c r="E114" s="84"/>
    </row>
    <row r="115" spans="2:5">
      <c r="B115" s="85"/>
      <c r="C115" s="85"/>
      <c r="D115" s="84"/>
      <c r="E115" s="84"/>
    </row>
    <row r="116" spans="2:5">
      <c r="B116" s="85"/>
      <c r="C116" s="85"/>
      <c r="D116" s="84"/>
      <c r="E116" s="84"/>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D3534-8B4A-4CE5-8291-B1D996F7C9F8}">
  <sheetPr codeName="Sheet19">
    <tabColor theme="8" tint="-0.499984740745262"/>
  </sheetPr>
  <dimension ref="A2:R274"/>
  <sheetViews>
    <sheetView topLeftCell="A220" zoomScaleNormal="100" workbookViewId="0">
      <selection activeCell="C254" sqref="C254"/>
    </sheetView>
  </sheetViews>
  <sheetFormatPr defaultColWidth="9.140625" defaultRowHeight="15"/>
  <cols>
    <col min="2" max="2" width="52.28515625" customWidth="1"/>
    <col min="3" max="3" width="35.140625" bestFit="1" customWidth="1"/>
    <col min="4" max="4" width="31" customWidth="1"/>
    <col min="5" max="5" width="13.42578125" bestFit="1" customWidth="1"/>
    <col min="6" max="7" width="35.140625" bestFit="1" customWidth="1"/>
    <col min="10" max="10" width="15.140625" bestFit="1" customWidth="1"/>
    <col min="16" max="16" width="13" bestFit="1" customWidth="1"/>
    <col min="17" max="17" width="12.28515625" bestFit="1" customWidth="1"/>
    <col min="18" max="18" width="14.7109375" bestFit="1" customWidth="1"/>
    <col min="19" max="19" width="13.85546875" bestFit="1" customWidth="1"/>
  </cols>
  <sheetData>
    <row r="2" spans="1:18">
      <c r="J2" t="s">
        <v>371</v>
      </c>
      <c r="K2" t="s">
        <v>372</v>
      </c>
    </row>
    <row r="3" spans="1:18" ht="23.25">
      <c r="C3" s="21" t="s">
        <v>373</v>
      </c>
      <c r="K3" t="s">
        <v>374</v>
      </c>
    </row>
    <row r="4" spans="1:18">
      <c r="C4">
        <v>1</v>
      </c>
    </row>
    <row r="5" spans="1:18" ht="23.25">
      <c r="C5" s="22" t="s">
        <v>375</v>
      </c>
    </row>
    <row r="7" spans="1:18" ht="23.25">
      <c r="C7" s="21" t="s">
        <v>373</v>
      </c>
    </row>
    <row r="8" spans="1:18" ht="23.25">
      <c r="C8" s="22" t="s">
        <v>375</v>
      </c>
    </row>
    <row r="12" spans="1:18">
      <c r="A12" t="s">
        <v>376</v>
      </c>
      <c r="B12" t="s">
        <v>377</v>
      </c>
      <c r="C12" t="s">
        <v>378</v>
      </c>
      <c r="D12" t="s">
        <v>379</v>
      </c>
      <c r="E12" t="s">
        <v>380</v>
      </c>
      <c r="F12" t="s">
        <v>381</v>
      </c>
      <c r="O12" t="s">
        <v>382</v>
      </c>
      <c r="P12" t="s">
        <v>383</v>
      </c>
      <c r="Q12" t="s">
        <v>384</v>
      </c>
      <c r="R12" t="s">
        <v>385</v>
      </c>
    </row>
    <row r="13" spans="1:18">
      <c r="A13" t="s">
        <v>386</v>
      </c>
      <c r="B13" t="s">
        <v>387</v>
      </c>
      <c r="C13" t="s">
        <v>388</v>
      </c>
      <c r="D13" t="s">
        <v>389</v>
      </c>
      <c r="E13" t="s">
        <v>390</v>
      </c>
      <c r="F13" t="str" cm="1">
        <f t="array" ref="F13">IF(eng_flag,Tableau4[[#This Row],[MENU ENG]],Tableau4[[#This Row],[MENU FR]])</f>
        <v>List of Excel 365-Exclusive Functions</v>
      </c>
      <c r="N13">
        <v>1</v>
      </c>
      <c r="O13" t="s">
        <v>391</v>
      </c>
      <c r="P13" t="s">
        <v>392</v>
      </c>
      <c r="Q13" t="s">
        <v>393</v>
      </c>
      <c r="R13" t="s">
        <v>394</v>
      </c>
    </row>
    <row r="14" spans="1:18">
      <c r="A14" t="s">
        <v>395</v>
      </c>
      <c r="B14" t="s">
        <v>396</v>
      </c>
      <c r="C14" t="s">
        <v>397</v>
      </c>
      <c r="D14" t="s">
        <v>398</v>
      </c>
      <c r="E14" t="s">
        <v>390</v>
      </c>
      <c r="F14" t="str" cm="1">
        <f t="array" ref="F14">IF(eng_flag,Tableau4[[#This Row],[MENU ENG]],Tableau4[[#This Row],[MENU FR]])</f>
        <v>Array functions</v>
      </c>
      <c r="N14">
        <v>2</v>
      </c>
      <c r="O14" t="s">
        <v>399</v>
      </c>
      <c r="P14" t="s">
        <v>400</v>
      </c>
      <c r="Q14" t="s">
        <v>401</v>
      </c>
      <c r="R14" t="s">
        <v>402</v>
      </c>
    </row>
    <row r="15" spans="1:18">
      <c r="A15">
        <v>10</v>
      </c>
      <c r="B15" t="s">
        <v>403</v>
      </c>
      <c r="C15" t="s">
        <v>404</v>
      </c>
      <c r="D15" t="s">
        <v>405</v>
      </c>
      <c r="E15" t="s">
        <v>390</v>
      </c>
      <c r="F15" t="str" cm="1">
        <f t="array" ref="F15">IF(eng_flag,Tableau4[[#This Row],[MENU ENG]],Tableau4[[#This Row],[MENU FR]])</f>
        <v>LOGIC | IF-AND-OR-XOR</v>
      </c>
      <c r="N15">
        <v>3</v>
      </c>
      <c r="O15" t="s">
        <v>406</v>
      </c>
      <c r="P15" t="s">
        <v>406</v>
      </c>
      <c r="Q15" t="s">
        <v>407</v>
      </c>
      <c r="R15" t="s">
        <v>408</v>
      </c>
    </row>
    <row r="16" spans="1:18">
      <c r="A16">
        <v>20</v>
      </c>
      <c r="B16" t="s">
        <v>409</v>
      </c>
      <c r="C16" t="s">
        <v>410</v>
      </c>
      <c r="D16" t="s">
        <v>411</v>
      </c>
      <c r="E16" t="s">
        <v>390</v>
      </c>
      <c r="F16" t="str" cm="1">
        <f t="array" ref="F16">IF(eng_flag,Tableau4[[#This Row],[MENU ENG]],Tableau4[[#This Row],[MENU FR]])</f>
        <v>DATE AND TIME</v>
      </c>
      <c r="N16">
        <v>4</v>
      </c>
      <c r="O16" t="s">
        <v>412</v>
      </c>
      <c r="P16" t="s">
        <v>413</v>
      </c>
      <c r="Q16" t="s">
        <v>414</v>
      </c>
      <c r="R16" t="s">
        <v>415</v>
      </c>
    </row>
    <row r="17" spans="1:18">
      <c r="A17">
        <v>25</v>
      </c>
      <c r="B17" t="s">
        <v>416</v>
      </c>
      <c r="C17" t="s">
        <v>417</v>
      </c>
      <c r="D17" t="s">
        <v>418</v>
      </c>
      <c r="E17" t="s">
        <v>390</v>
      </c>
      <c r="F17" t="str" cm="1">
        <f t="array" ref="F17">IF(eng_flag,Tableau4[[#This Row],[MENU ENG]],Tableau4[[#This Row],[MENU FR]])</f>
        <v>ROUND | RAND</v>
      </c>
      <c r="N17">
        <v>5</v>
      </c>
      <c r="O17" t="s">
        <v>419</v>
      </c>
      <c r="P17" t="s">
        <v>419</v>
      </c>
      <c r="Q17" t="s">
        <v>420</v>
      </c>
      <c r="R17" t="s">
        <v>420</v>
      </c>
    </row>
    <row r="18" spans="1:18">
      <c r="A18">
        <v>30</v>
      </c>
      <c r="B18" t="s">
        <v>421</v>
      </c>
      <c r="C18" t="s">
        <v>422</v>
      </c>
      <c r="D18" t="s">
        <v>423</v>
      </c>
      <c r="E18" t="s">
        <v>390</v>
      </c>
      <c r="F18" t="str" cm="1">
        <f t="array" ref="F18">IF(eng_flag,Tableau4[[#This Row],[MENU ENG]],Tableau4[[#This Row],[MENU FR]])</f>
        <v>SUMIF | SUMIFS</v>
      </c>
      <c r="N18">
        <v>6</v>
      </c>
      <c r="O18" t="s">
        <v>424</v>
      </c>
      <c r="P18" t="s">
        <v>424</v>
      </c>
      <c r="Q18" t="s">
        <v>425</v>
      </c>
      <c r="R18" t="s">
        <v>426</v>
      </c>
    </row>
    <row r="19" spans="1:18">
      <c r="A19">
        <v>30</v>
      </c>
      <c r="B19" t="s">
        <v>427</v>
      </c>
      <c r="C19" t="s">
        <v>428</v>
      </c>
      <c r="D19" t="s">
        <v>423</v>
      </c>
      <c r="E19" t="s">
        <v>390</v>
      </c>
      <c r="F19" t="str" cm="1">
        <f t="array" ref="F19">IF(eng_flag,Tableau4[[#This Row],[MENU ENG]],Tableau4[[#This Row],[MENU FR]])</f>
        <v>COUNTIF(S) | SUMIF(S)</v>
      </c>
      <c r="N19">
        <v>7</v>
      </c>
      <c r="O19" t="s">
        <v>429</v>
      </c>
      <c r="P19" t="s">
        <v>430</v>
      </c>
      <c r="Q19" t="s">
        <v>431</v>
      </c>
      <c r="R19" t="s">
        <v>432</v>
      </c>
    </row>
    <row r="20" spans="1:18">
      <c r="A20">
        <v>33</v>
      </c>
      <c r="B20" t="s">
        <v>353</v>
      </c>
      <c r="C20" t="s">
        <v>433</v>
      </c>
      <c r="D20" t="s">
        <v>434</v>
      </c>
      <c r="E20" t="s">
        <v>390</v>
      </c>
      <c r="F20" t="str" cm="1">
        <f t="array" ref="F20">IF(eng_flag,Tableau4[[#This Row],[MENU ENG]],Tableau4[[#This Row],[MENU FR]])</f>
        <v>SUMPRODUCT</v>
      </c>
      <c r="N20">
        <v>8</v>
      </c>
      <c r="O20" t="s">
        <v>435</v>
      </c>
      <c r="P20" t="s">
        <v>435</v>
      </c>
      <c r="Q20" t="s">
        <v>436</v>
      </c>
      <c r="R20" t="s">
        <v>437</v>
      </c>
    </row>
    <row r="21" spans="1:18">
      <c r="A21">
        <v>35</v>
      </c>
      <c r="B21" t="s">
        <v>438</v>
      </c>
      <c r="C21" t="s">
        <v>439</v>
      </c>
      <c r="D21" t="s">
        <v>440</v>
      </c>
      <c r="E21" t="s">
        <v>390</v>
      </c>
      <c r="F21" t="str" cm="1">
        <f t="array" ref="F21">IF(eng_flag,Tableau4[[#This Row],[MENU ENG]],Tableau4[[#This Row],[MENU FR]])</f>
        <v>ERRORS (ISEMPTY - ISNA - ISERROR)</v>
      </c>
      <c r="N21">
        <v>9</v>
      </c>
      <c r="O21" t="s">
        <v>441</v>
      </c>
      <c r="P21" t="s">
        <v>442</v>
      </c>
      <c r="Q21" t="s">
        <v>443</v>
      </c>
      <c r="R21" t="s">
        <v>444</v>
      </c>
    </row>
    <row r="22" spans="1:18">
      <c r="A22">
        <v>40</v>
      </c>
      <c r="B22" t="s">
        <v>445</v>
      </c>
      <c r="C22" t="s">
        <v>446</v>
      </c>
      <c r="D22" t="s">
        <v>447</v>
      </c>
      <c r="E22" t="s">
        <v>390</v>
      </c>
      <c r="F22" t="str" cm="1">
        <f t="array" ref="F22">IF(eng_flag,Tableau4[[#This Row],[MENU ENG]],Tableau4[[#This Row],[MENU FR]])</f>
        <v>TEXT FUNCTIONS</v>
      </c>
      <c r="N22">
        <v>10</v>
      </c>
      <c r="O22" t="s">
        <v>448</v>
      </c>
      <c r="P22" t="s">
        <v>449</v>
      </c>
      <c r="Q22" t="s">
        <v>448</v>
      </c>
      <c r="R22" t="s">
        <v>450</v>
      </c>
    </row>
    <row r="23" spans="1:18">
      <c r="A23">
        <v>50</v>
      </c>
      <c r="B23" t="s">
        <v>5</v>
      </c>
      <c r="C23" t="s">
        <v>6</v>
      </c>
      <c r="D23" t="s">
        <v>451</v>
      </c>
      <c r="E23" t="s">
        <v>390</v>
      </c>
      <c r="F23" t="str" cm="1">
        <f t="array" ref="F23">IF(eng_flag,Tableau4[[#This Row],[MENU ENG]],Tableau4[[#This Row],[MENU FR]])</f>
        <v>FILTER</v>
      </c>
      <c r="N23">
        <v>11</v>
      </c>
      <c r="O23" t="s">
        <v>452</v>
      </c>
      <c r="P23" t="s">
        <v>453</v>
      </c>
      <c r="Q23" t="s">
        <v>452</v>
      </c>
      <c r="R23" t="s">
        <v>454</v>
      </c>
    </row>
    <row r="24" spans="1:18">
      <c r="A24">
        <v>50</v>
      </c>
      <c r="B24" t="s">
        <v>455</v>
      </c>
      <c r="C24" t="s">
        <v>456</v>
      </c>
      <c r="D24" t="s">
        <v>457</v>
      </c>
      <c r="E24" t="s">
        <v>390</v>
      </c>
      <c r="F24" t="str" cm="1">
        <f t="array" ref="F24">IF(eng_flag,Tableau4[[#This Row],[MENU ENG]],Tableau4[[#This Row],[MENU FR]])</f>
        <v>SORT | SORTBY</v>
      </c>
      <c r="N24">
        <v>12</v>
      </c>
      <c r="O24" t="s">
        <v>458</v>
      </c>
      <c r="P24" t="s">
        <v>459</v>
      </c>
      <c r="Q24" t="s">
        <v>460</v>
      </c>
      <c r="R24" t="s">
        <v>461</v>
      </c>
    </row>
    <row r="25" spans="1:18">
      <c r="A25">
        <v>60</v>
      </c>
      <c r="B25" t="s">
        <v>462</v>
      </c>
      <c r="C25" t="s">
        <v>463</v>
      </c>
      <c r="D25" t="s">
        <v>464</v>
      </c>
      <c r="E25" t="s">
        <v>390</v>
      </c>
      <c r="F25" t="str" cm="1">
        <f t="array" ref="F25">IF(eng_flag,Tableau4[[#This Row],[MENU ENG]],Tableau4[[#This Row],[MENU FR]])</f>
        <v>INDEX | XMATCH | OFFSET</v>
      </c>
    </row>
    <row r="26" spans="1:18">
      <c r="A26">
        <v>60</v>
      </c>
      <c r="B26" t="s">
        <v>465</v>
      </c>
      <c r="C26" t="s">
        <v>318</v>
      </c>
      <c r="D26" t="s">
        <v>466</v>
      </c>
      <c r="E26" t="s">
        <v>390</v>
      </c>
      <c r="F26" t="str" cm="1">
        <f t="array" ref="F26">IF(eng_flag,Tableau4[[#This Row],[MENU ENG]],Tableau4[[#This Row],[MENU FR]])</f>
        <v xml:space="preserve">VLOOKUP </v>
      </c>
    </row>
    <row r="27" spans="1:18">
      <c r="A27">
        <v>60</v>
      </c>
      <c r="B27" t="s">
        <v>321</v>
      </c>
      <c r="C27" t="s">
        <v>322</v>
      </c>
      <c r="D27" t="s">
        <v>467</v>
      </c>
      <c r="E27" t="s">
        <v>390</v>
      </c>
      <c r="F27" t="str" cm="1">
        <f t="array" ref="F27">IF(eng_flag,Tableau4[[#This Row],[MENU ENG]],Tableau4[[#This Row],[MENU FR]])</f>
        <v>HLOOKUP</v>
      </c>
    </row>
    <row r="28" spans="1:18">
      <c r="A28">
        <v>60</v>
      </c>
      <c r="B28" t="s">
        <v>67</v>
      </c>
      <c r="C28" t="s">
        <v>68</v>
      </c>
      <c r="D28" t="s">
        <v>468</v>
      </c>
      <c r="E28" t="s">
        <v>390</v>
      </c>
      <c r="F28" t="str" cm="1">
        <f t="array" ref="F28">IF(eng_flag,Tableau4[[#This Row],[MENU ENG]],Tableau4[[#This Row],[MENU FR]])</f>
        <v>XLOOKUP</v>
      </c>
      <c r="O28" t="s">
        <v>469</v>
      </c>
    </row>
    <row r="29" spans="1:18">
      <c r="A29">
        <v>70</v>
      </c>
      <c r="B29" t="s">
        <v>470</v>
      </c>
      <c r="C29" t="s">
        <v>471</v>
      </c>
      <c r="D29" t="s">
        <v>472</v>
      </c>
      <c r="E29" t="s">
        <v>390</v>
      </c>
      <c r="F29" t="str" cm="1">
        <f t="array" ref="F29">IF(eng_flag,Tableau4[[#This Row],[MENU ENG]],Tableau4[[#This Row],[MENU FR]])</f>
        <v>FREQUENCY - RANK.EQ</v>
      </c>
      <c r="O29" t="s">
        <v>473</v>
      </c>
      <c r="P29" t="s">
        <v>474</v>
      </c>
    </row>
    <row r="30" spans="1:18">
      <c r="A30">
        <v>75</v>
      </c>
      <c r="B30" t="s">
        <v>475</v>
      </c>
      <c r="C30" t="s">
        <v>476</v>
      </c>
      <c r="D30" t="s">
        <v>477</v>
      </c>
      <c r="E30" t="s">
        <v>386</v>
      </c>
      <c r="F30" t="str" cm="1">
        <f t="array" ref="F30">IF(eng_flag,Tableau4[[#This Row],[MENU ENG]],Tableau4[[#This Row],[MENU FR]])</f>
        <v>STDEV</v>
      </c>
      <c r="O30" t="s">
        <v>478</v>
      </c>
      <c r="P30" t="s">
        <v>479</v>
      </c>
    </row>
    <row r="31" spans="1:18">
      <c r="A31">
        <v>78</v>
      </c>
      <c r="B31" t="s">
        <v>480</v>
      </c>
      <c r="C31" t="s">
        <v>481</v>
      </c>
      <c r="D31" t="s">
        <v>482</v>
      </c>
      <c r="E31" t="s">
        <v>483</v>
      </c>
      <c r="F31" t="str" cm="1">
        <f t="array" ref="F31">IF(eng_flag,Tableau4[[#This Row],[MENU ENG]],Tableau4[[#This Row],[MENU FR]])</f>
        <v>MATRIX HANDLING</v>
      </c>
      <c r="O31" t="s">
        <v>484</v>
      </c>
      <c r="P31" t="s">
        <v>485</v>
      </c>
    </row>
    <row r="32" spans="1:18">
      <c r="A32">
        <v>80</v>
      </c>
      <c r="B32" t="s">
        <v>139</v>
      </c>
      <c r="C32" t="s">
        <v>140</v>
      </c>
      <c r="D32" t="s">
        <v>486</v>
      </c>
      <c r="E32" t="s">
        <v>386</v>
      </c>
      <c r="F32" t="str" cm="1">
        <f t="array" ref="F32">IF(eng_flag,Tableau4[[#This Row],[MENU ENG]],Tableau4[[#This Row],[MENU FR]])</f>
        <v>GROUPBY</v>
      </c>
      <c r="O32" t="s">
        <v>487</v>
      </c>
      <c r="P32" t="s">
        <v>488</v>
      </c>
    </row>
    <row r="33" spans="1:17">
      <c r="A33">
        <v>81</v>
      </c>
      <c r="B33" t="s">
        <v>143</v>
      </c>
      <c r="C33" t="s">
        <v>368</v>
      </c>
      <c r="D33" t="s">
        <v>489</v>
      </c>
      <c r="E33" t="s">
        <v>386</v>
      </c>
      <c r="F33" t="str" cm="1">
        <f t="array" ref="F33">IF(eng_flag,Tableau4[[#This Row],[MENU ENG]],Tableau4[[#This Row],[MENU FR]])</f>
        <v>PIVOTBY</v>
      </c>
      <c r="P33" t="s">
        <v>490</v>
      </c>
      <c r="Q33" t="s">
        <v>491</v>
      </c>
    </row>
    <row r="34" spans="1:17">
      <c r="A34">
        <v>100</v>
      </c>
      <c r="B34" t="s">
        <v>75</v>
      </c>
      <c r="C34" t="s">
        <v>75</v>
      </c>
      <c r="D34" t="s">
        <v>492</v>
      </c>
      <c r="E34" t="s">
        <v>390</v>
      </c>
      <c r="F34" t="str" cm="1">
        <f t="array" ref="F34">IF(eng_flag,Tableau4[[#This Row],[MENU ENG]],Tableau4[[#This Row],[MENU FR]])</f>
        <v>LET</v>
      </c>
      <c r="P34" t="s">
        <v>493</v>
      </c>
      <c r="Q34" t="s">
        <v>494</v>
      </c>
    </row>
    <row r="35" spans="1:17">
      <c r="A35">
        <v>110</v>
      </c>
      <c r="B35" t="s">
        <v>78</v>
      </c>
      <c r="C35" t="s">
        <v>78</v>
      </c>
      <c r="D35" t="s">
        <v>495</v>
      </c>
      <c r="E35" t="s">
        <v>390</v>
      </c>
      <c r="F35" t="str" cm="1">
        <f t="array" ref="F35">IF(eng_flag,Tableau4[[#This Row],[MENU ENG]],Tableau4[[#This Row],[MENU FR]])</f>
        <v>LAMBDA</v>
      </c>
      <c r="P35" t="s">
        <v>496</v>
      </c>
      <c r="Q35" t="s">
        <v>497</v>
      </c>
    </row>
    <row r="40" spans="1:17">
      <c r="A40" t="s">
        <v>498</v>
      </c>
    </row>
    <row r="41" spans="1:17">
      <c r="A41" t="s">
        <v>499</v>
      </c>
      <c r="B41" t="s">
        <v>500</v>
      </c>
      <c r="C41" t="s">
        <v>501</v>
      </c>
    </row>
    <row r="42" spans="1:17">
      <c r="A42" t="s">
        <v>395</v>
      </c>
      <c r="B42" t="s">
        <v>502</v>
      </c>
      <c r="C42" t="s">
        <v>503</v>
      </c>
    </row>
    <row r="43" spans="1:17">
      <c r="B43" t="s">
        <v>504</v>
      </c>
      <c r="C43" t="s">
        <v>505</v>
      </c>
    </row>
    <row r="44" spans="1:17">
      <c r="B44" t="s">
        <v>506</v>
      </c>
      <c r="C44" t="s">
        <v>507</v>
      </c>
    </row>
    <row r="45" spans="1:17">
      <c r="B45" t="s">
        <v>508</v>
      </c>
      <c r="C45" t="s">
        <v>509</v>
      </c>
    </row>
    <row r="46" spans="1:17">
      <c r="B46" t="s">
        <v>510</v>
      </c>
      <c r="C46" t="s">
        <v>511</v>
      </c>
    </row>
    <row r="47" spans="1:17">
      <c r="B47" t="s">
        <v>512</v>
      </c>
      <c r="C47" t="s">
        <v>513</v>
      </c>
    </row>
    <row r="48" spans="1:17">
      <c r="B48" t="s">
        <v>514</v>
      </c>
      <c r="C48" t="s">
        <v>515</v>
      </c>
    </row>
    <row r="49" spans="2:4">
      <c r="B49" t="s">
        <v>516</v>
      </c>
      <c r="C49" t="s">
        <v>517</v>
      </c>
    </row>
    <row r="50" spans="2:4">
      <c r="B50" t="s">
        <v>518</v>
      </c>
      <c r="C50" t="s">
        <v>519</v>
      </c>
    </row>
    <row r="51" spans="2:4">
      <c r="B51" t="s">
        <v>520</v>
      </c>
      <c r="C51" t="s">
        <v>521</v>
      </c>
    </row>
    <row r="52" spans="2:4">
      <c r="B52" t="s">
        <v>522</v>
      </c>
      <c r="C52" s="53" t="s">
        <v>523</v>
      </c>
    </row>
    <row r="53" spans="2:4">
      <c r="B53" t="s">
        <v>524</v>
      </c>
      <c r="C53" s="53" t="s">
        <v>525</v>
      </c>
      <c r="D53" s="55"/>
    </row>
    <row r="54" spans="2:4">
      <c r="B54" t="s">
        <v>526</v>
      </c>
      <c r="C54" s="53" t="s">
        <v>527</v>
      </c>
      <c r="D54" s="56"/>
    </row>
    <row r="55" spans="2:4">
      <c r="B55" t="s">
        <v>528</v>
      </c>
      <c r="C55" s="53" t="s">
        <v>529</v>
      </c>
      <c r="D55" s="56"/>
    </row>
    <row r="56" spans="2:4">
      <c r="B56" t="s">
        <v>530</v>
      </c>
      <c r="C56" s="53" t="s">
        <v>531</v>
      </c>
      <c r="D56" s="12"/>
    </row>
    <row r="57" spans="2:4">
      <c r="B57" t="s">
        <v>532</v>
      </c>
      <c r="C57" t="s">
        <v>533</v>
      </c>
    </row>
    <row r="58" spans="2:4">
      <c r="B58" t="s">
        <v>534</v>
      </c>
      <c r="C58" t="s">
        <v>535</v>
      </c>
    </row>
    <row r="59" spans="2:4">
      <c r="B59" t="s">
        <v>536</v>
      </c>
      <c r="C59" t="s">
        <v>537</v>
      </c>
    </row>
    <row r="60" spans="2:4">
      <c r="B60" t="s">
        <v>538</v>
      </c>
      <c r="C60" t="s">
        <v>539</v>
      </c>
    </row>
    <row r="61" spans="2:4">
      <c r="B61" t="s">
        <v>540</v>
      </c>
      <c r="C61" t="s">
        <v>541</v>
      </c>
    </row>
    <row r="62" spans="2:4">
      <c r="B62" t="s">
        <v>542</v>
      </c>
      <c r="C62" t="s">
        <v>543</v>
      </c>
    </row>
    <row r="63" spans="2:4">
      <c r="B63" t="s">
        <v>544</v>
      </c>
      <c r="C63" s="14" t="s">
        <v>545</v>
      </c>
    </row>
    <row r="64" spans="2:4">
      <c r="B64" t="s">
        <v>546</v>
      </c>
      <c r="C64" s="14" t="s">
        <v>547</v>
      </c>
    </row>
    <row r="65" spans="2:3">
      <c r="B65" t="s">
        <v>548</v>
      </c>
      <c r="C65" t="s">
        <v>549</v>
      </c>
    </row>
    <row r="66" spans="2:3">
      <c r="B66" t="s">
        <v>550</v>
      </c>
      <c r="C66" t="s">
        <v>550</v>
      </c>
    </row>
    <row r="67" spans="2:3">
      <c r="B67" t="s">
        <v>551</v>
      </c>
      <c r="C67" t="s">
        <v>552</v>
      </c>
    </row>
    <row r="68" spans="2:3">
      <c r="B68" t="s">
        <v>553</v>
      </c>
      <c r="C68" t="s">
        <v>554</v>
      </c>
    </row>
    <row r="69" spans="2:3">
      <c r="B69" t="s">
        <v>555</v>
      </c>
      <c r="C69" t="s">
        <v>556</v>
      </c>
    </row>
    <row r="70" spans="2:3">
      <c r="B70" t="s">
        <v>557</v>
      </c>
      <c r="C70" t="s">
        <v>558</v>
      </c>
    </row>
    <row r="71" spans="2:3">
      <c r="B71" t="s">
        <v>559</v>
      </c>
      <c r="C71" t="s">
        <v>560</v>
      </c>
    </row>
    <row r="72" spans="2:3">
      <c r="B72" t="s">
        <v>71</v>
      </c>
      <c r="C72" t="s">
        <v>72</v>
      </c>
    </row>
    <row r="73" spans="2:3">
      <c r="B73" t="s">
        <v>313</v>
      </c>
      <c r="C73" t="s">
        <v>314</v>
      </c>
    </row>
    <row r="75" spans="2:3">
      <c r="B75" t="s">
        <v>561</v>
      </c>
      <c r="C75" t="s">
        <v>562</v>
      </c>
    </row>
    <row r="76" spans="2:3">
      <c r="B76" t="s">
        <v>563</v>
      </c>
      <c r="C76" t="s">
        <v>564</v>
      </c>
    </row>
    <row r="77" spans="2:3">
      <c r="B77" t="s">
        <v>565</v>
      </c>
      <c r="C77" t="s">
        <v>566</v>
      </c>
    </row>
    <row r="79" spans="2:3">
      <c r="B79" t="s">
        <v>567</v>
      </c>
      <c r="C79" t="s">
        <v>568</v>
      </c>
    </row>
    <row r="80" spans="2:3">
      <c r="B80" t="s">
        <v>569</v>
      </c>
      <c r="C80" t="s">
        <v>570</v>
      </c>
    </row>
    <row r="82" spans="2:3">
      <c r="B82" t="s">
        <v>571</v>
      </c>
      <c r="C82" t="s">
        <v>572</v>
      </c>
    </row>
    <row r="83" spans="2:3">
      <c r="B83" t="s">
        <v>573</v>
      </c>
      <c r="C83" t="s">
        <v>574</v>
      </c>
    </row>
    <row r="84" spans="2:3">
      <c r="B84" t="s">
        <v>575</v>
      </c>
      <c r="C84" t="s">
        <v>576</v>
      </c>
    </row>
    <row r="85" spans="2:3">
      <c r="B85" t="s">
        <v>577</v>
      </c>
      <c r="C85" t="s">
        <v>578</v>
      </c>
    </row>
    <row r="86" spans="2:3">
      <c r="B86" t="s">
        <v>579</v>
      </c>
      <c r="C86" t="s">
        <v>580</v>
      </c>
    </row>
    <row r="87" spans="2:3">
      <c r="B87" t="s">
        <v>581</v>
      </c>
      <c r="C87" t="s">
        <v>582</v>
      </c>
    </row>
    <row r="88" spans="2:3">
      <c r="B88" t="s">
        <v>583</v>
      </c>
      <c r="C88" t="s">
        <v>584</v>
      </c>
    </row>
    <row r="89" spans="2:3">
      <c r="B89" t="s">
        <v>585</v>
      </c>
      <c r="C89" t="s">
        <v>585</v>
      </c>
    </row>
    <row r="90" spans="2:3">
      <c r="B90" t="s">
        <v>586</v>
      </c>
      <c r="C90" t="s">
        <v>587</v>
      </c>
    </row>
    <row r="91" spans="2:3">
      <c r="B91" t="s">
        <v>588</v>
      </c>
      <c r="C91" t="s">
        <v>589</v>
      </c>
    </row>
    <row r="92" spans="2:3">
      <c r="B92" t="s">
        <v>590</v>
      </c>
      <c r="C92" t="s">
        <v>591</v>
      </c>
    </row>
    <row r="93" spans="2:3">
      <c r="B93" t="s">
        <v>592</v>
      </c>
      <c r="C93" t="s">
        <v>593</v>
      </c>
    </row>
    <row r="94" spans="2:3">
      <c r="B94" t="s">
        <v>594</v>
      </c>
      <c r="C94" t="s">
        <v>595</v>
      </c>
    </row>
    <row r="95" spans="2:3">
      <c r="B95" t="s">
        <v>596</v>
      </c>
      <c r="C95" t="s">
        <v>597</v>
      </c>
    </row>
    <row r="96" spans="2:3">
      <c r="B96" t="s">
        <v>598</v>
      </c>
      <c r="C96" t="s">
        <v>599</v>
      </c>
    </row>
    <row r="97" spans="1:5">
      <c r="B97" t="s">
        <v>600</v>
      </c>
      <c r="C97" t="s">
        <v>601</v>
      </c>
    </row>
    <row r="98" spans="1:5">
      <c r="B98" t="s">
        <v>602</v>
      </c>
      <c r="C98" t="s">
        <v>603</v>
      </c>
    </row>
    <row r="99" spans="1:5">
      <c r="B99" t="s">
        <v>604</v>
      </c>
      <c r="C99" t="s">
        <v>605</v>
      </c>
    </row>
    <row r="100" spans="1:5">
      <c r="B100" t="s">
        <v>606</v>
      </c>
      <c r="C100" t="s">
        <v>607</v>
      </c>
    </row>
    <row r="102" spans="1:5">
      <c r="A102" t="s">
        <v>608</v>
      </c>
      <c r="B102" t="s">
        <v>1</v>
      </c>
      <c r="C102" t="s">
        <v>2</v>
      </c>
      <c r="D102" t="s">
        <v>3</v>
      </c>
      <c r="E102" t="s">
        <v>4</v>
      </c>
    </row>
    <row r="103" spans="1:5">
      <c r="A103">
        <v>1</v>
      </c>
      <c r="B103" t="s">
        <v>5</v>
      </c>
      <c r="C103" t="s">
        <v>6</v>
      </c>
      <c r="D103" t="s">
        <v>7</v>
      </c>
      <c r="E103" t="s">
        <v>8</v>
      </c>
    </row>
    <row r="104" spans="1:5">
      <c r="A104">
        <v>1</v>
      </c>
      <c r="B104" t="s">
        <v>9</v>
      </c>
      <c r="C104" t="s">
        <v>10</v>
      </c>
      <c r="D104" t="s">
        <v>11</v>
      </c>
      <c r="E104" t="s">
        <v>12</v>
      </c>
    </row>
    <row r="105" spans="1:5">
      <c r="A105">
        <v>1</v>
      </c>
      <c r="B105" t="s">
        <v>13</v>
      </c>
      <c r="C105" t="s">
        <v>14</v>
      </c>
      <c r="D105" t="s">
        <v>15</v>
      </c>
      <c r="E105" t="s">
        <v>16</v>
      </c>
    </row>
    <row r="106" spans="1:5">
      <c r="A106">
        <v>1</v>
      </c>
      <c r="B106" t="s">
        <v>17</v>
      </c>
      <c r="C106" t="s">
        <v>17</v>
      </c>
      <c r="D106" t="s">
        <v>18</v>
      </c>
      <c r="E106" t="s">
        <v>19</v>
      </c>
    </row>
    <row r="107" spans="1:5">
      <c r="A107">
        <v>1</v>
      </c>
      <c r="B107" t="s">
        <v>20</v>
      </c>
      <c r="C107" t="s">
        <v>20</v>
      </c>
      <c r="D107" t="s">
        <v>21</v>
      </c>
      <c r="E107" t="s">
        <v>22</v>
      </c>
    </row>
    <row r="108" spans="1:5">
      <c r="A108">
        <v>1</v>
      </c>
      <c r="B108" t="s">
        <v>23</v>
      </c>
      <c r="C108" t="s">
        <v>24</v>
      </c>
      <c r="D108" t="s">
        <v>25</v>
      </c>
      <c r="E108" t="s">
        <v>26</v>
      </c>
    </row>
    <row r="109" spans="1:5">
      <c r="A109">
        <v>1</v>
      </c>
      <c r="B109" t="s">
        <v>609</v>
      </c>
      <c r="C109" t="s">
        <v>610</v>
      </c>
      <c r="D109" t="s">
        <v>611</v>
      </c>
      <c r="E109" t="s">
        <v>612</v>
      </c>
    </row>
    <row r="110" spans="1:5">
      <c r="A110">
        <v>1</v>
      </c>
      <c r="B110" t="s">
        <v>27</v>
      </c>
      <c r="C110" t="s">
        <v>28</v>
      </c>
      <c r="D110" t="s">
        <v>29</v>
      </c>
      <c r="E110" t="s">
        <v>30</v>
      </c>
    </row>
    <row r="111" spans="1:5">
      <c r="A111">
        <v>1</v>
      </c>
      <c r="B111" t="s">
        <v>31</v>
      </c>
      <c r="C111" t="s">
        <v>32</v>
      </c>
      <c r="D111" t="s">
        <v>33</v>
      </c>
      <c r="E111" t="s">
        <v>34</v>
      </c>
    </row>
    <row r="112" spans="1:5">
      <c r="A112">
        <v>1</v>
      </c>
      <c r="B112" t="s">
        <v>35</v>
      </c>
      <c r="C112" t="s">
        <v>613</v>
      </c>
      <c r="D112" t="s">
        <v>37</v>
      </c>
      <c r="E112" t="s">
        <v>38</v>
      </c>
    </row>
    <row r="113" spans="1:5">
      <c r="A113">
        <v>1</v>
      </c>
      <c r="B113" t="s">
        <v>39</v>
      </c>
      <c r="C113" t="s">
        <v>40</v>
      </c>
      <c r="D113" t="s">
        <v>41</v>
      </c>
      <c r="E113" t="s">
        <v>42</v>
      </c>
    </row>
    <row r="114" spans="1:5">
      <c r="A114">
        <v>1</v>
      </c>
      <c r="B114" t="s">
        <v>43</v>
      </c>
      <c r="C114" t="s">
        <v>44</v>
      </c>
      <c r="D114" t="s">
        <v>45</v>
      </c>
      <c r="E114" t="s">
        <v>46</v>
      </c>
    </row>
    <row r="115" spans="1:5">
      <c r="A115">
        <v>1</v>
      </c>
      <c r="B115" t="s">
        <v>47</v>
      </c>
      <c r="C115" t="s">
        <v>48</v>
      </c>
      <c r="D115" t="s">
        <v>49</v>
      </c>
      <c r="E115" t="s">
        <v>50</v>
      </c>
    </row>
    <row r="116" spans="1:5">
      <c r="A116">
        <v>1</v>
      </c>
      <c r="B116" t="s">
        <v>51</v>
      </c>
      <c r="C116" t="s">
        <v>52</v>
      </c>
      <c r="D116" t="s">
        <v>53</v>
      </c>
      <c r="E116" t="s">
        <v>54</v>
      </c>
    </row>
    <row r="117" spans="1:5">
      <c r="A117">
        <v>1</v>
      </c>
      <c r="B117" t="s">
        <v>55</v>
      </c>
      <c r="C117" t="s">
        <v>56</v>
      </c>
      <c r="D117" t="s">
        <v>57</v>
      </c>
      <c r="E117" t="s">
        <v>58</v>
      </c>
    </row>
    <row r="118" spans="1:5">
      <c r="A118">
        <v>1</v>
      </c>
      <c r="B118" t="s">
        <v>59</v>
      </c>
      <c r="C118" t="s">
        <v>60</v>
      </c>
      <c r="D118" t="s">
        <v>61</v>
      </c>
      <c r="E118" t="s">
        <v>62</v>
      </c>
    </row>
    <row r="119" spans="1:5">
      <c r="A119">
        <v>1</v>
      </c>
      <c r="B119" t="s">
        <v>63</v>
      </c>
      <c r="C119" t="s">
        <v>64</v>
      </c>
      <c r="D119" t="s">
        <v>65</v>
      </c>
      <c r="E119" t="s">
        <v>66</v>
      </c>
    </row>
    <row r="120" spans="1:5">
      <c r="A120">
        <v>2</v>
      </c>
      <c r="B120" t="s">
        <v>67</v>
      </c>
      <c r="C120" t="s">
        <v>68</v>
      </c>
      <c r="D120" t="s">
        <v>614</v>
      </c>
      <c r="E120" t="s">
        <v>615</v>
      </c>
    </row>
    <row r="121" spans="1:5">
      <c r="A121">
        <v>2</v>
      </c>
      <c r="B121" t="s">
        <v>71</v>
      </c>
      <c r="C121" t="s">
        <v>72</v>
      </c>
      <c r="D121" t="s">
        <v>73</v>
      </c>
      <c r="E121" t="s">
        <v>74</v>
      </c>
    </row>
    <row r="122" spans="1:5">
      <c r="A122">
        <v>3</v>
      </c>
      <c r="B122" t="s">
        <v>75</v>
      </c>
      <c r="C122" t="s">
        <v>75</v>
      </c>
      <c r="D122" t="s">
        <v>76</v>
      </c>
      <c r="E122" t="s">
        <v>77</v>
      </c>
    </row>
    <row r="123" spans="1:5">
      <c r="A123">
        <v>3</v>
      </c>
      <c r="B123" t="s">
        <v>78</v>
      </c>
      <c r="C123" t="s">
        <v>78</v>
      </c>
      <c r="D123" t="s">
        <v>79</v>
      </c>
      <c r="E123" t="s">
        <v>80</v>
      </c>
    </row>
    <row r="124" spans="1:5">
      <c r="A124">
        <v>3</v>
      </c>
      <c r="B124" t="s">
        <v>81</v>
      </c>
      <c r="C124" t="s">
        <v>81</v>
      </c>
      <c r="D124" t="s">
        <v>82</v>
      </c>
      <c r="E124" t="s">
        <v>83</v>
      </c>
    </row>
    <row r="125" spans="1:5">
      <c r="A125">
        <v>3</v>
      </c>
      <c r="B125" t="s">
        <v>84</v>
      </c>
      <c r="C125" t="s">
        <v>84</v>
      </c>
      <c r="D125" t="s">
        <v>85</v>
      </c>
      <c r="E125" t="s">
        <v>86</v>
      </c>
    </row>
    <row r="126" spans="1:5">
      <c r="A126">
        <v>3</v>
      </c>
      <c r="B126" t="s">
        <v>87</v>
      </c>
      <c r="C126" t="s">
        <v>88</v>
      </c>
      <c r="D126" t="s">
        <v>89</v>
      </c>
      <c r="E126" t="s">
        <v>90</v>
      </c>
    </row>
    <row r="127" spans="1:5">
      <c r="A127">
        <v>3</v>
      </c>
      <c r="B127" t="s">
        <v>91</v>
      </c>
      <c r="C127" t="s">
        <v>92</v>
      </c>
      <c r="D127" t="s">
        <v>93</v>
      </c>
      <c r="E127" t="s">
        <v>94</v>
      </c>
    </row>
    <row r="128" spans="1:5">
      <c r="A128">
        <v>3</v>
      </c>
      <c r="B128" t="s">
        <v>95</v>
      </c>
      <c r="C128" t="s">
        <v>616</v>
      </c>
      <c r="D128" t="s">
        <v>96</v>
      </c>
      <c r="E128" t="s">
        <v>97</v>
      </c>
    </row>
    <row r="129" spans="1:5">
      <c r="A129">
        <v>3</v>
      </c>
      <c r="B129" t="s">
        <v>98</v>
      </c>
      <c r="C129" t="s">
        <v>617</v>
      </c>
      <c r="D129" t="s">
        <v>99</v>
      </c>
      <c r="E129" t="s">
        <v>100</v>
      </c>
    </row>
    <row r="130" spans="1:5">
      <c r="A130">
        <v>3</v>
      </c>
      <c r="B130" t="s">
        <v>101</v>
      </c>
      <c r="C130" t="s">
        <v>102</v>
      </c>
      <c r="D130" t="s">
        <v>103</v>
      </c>
      <c r="E130" t="s">
        <v>104</v>
      </c>
    </row>
    <row r="131" spans="1:5">
      <c r="A131">
        <v>3</v>
      </c>
      <c r="B131" t="s">
        <v>105</v>
      </c>
      <c r="C131" t="s">
        <v>106</v>
      </c>
      <c r="D131" t="s">
        <v>107</v>
      </c>
      <c r="E131" t="s">
        <v>108</v>
      </c>
    </row>
    <row r="132" spans="1:5">
      <c r="A132">
        <v>3</v>
      </c>
      <c r="B132" t="s">
        <v>109</v>
      </c>
      <c r="C132" t="s">
        <v>110</v>
      </c>
      <c r="D132" t="s">
        <v>111</v>
      </c>
      <c r="E132" t="s">
        <v>112</v>
      </c>
    </row>
    <row r="133" spans="1:5">
      <c r="A133">
        <v>4</v>
      </c>
      <c r="B133" t="s">
        <v>113</v>
      </c>
      <c r="C133" t="s">
        <v>113</v>
      </c>
      <c r="D133" t="s">
        <v>114</v>
      </c>
      <c r="E133" t="s">
        <v>115</v>
      </c>
    </row>
    <row r="134" spans="1:5">
      <c r="A134">
        <v>4</v>
      </c>
      <c r="B134" t="s">
        <v>116</v>
      </c>
      <c r="C134" t="s">
        <v>117</v>
      </c>
      <c r="D134" t="s">
        <v>118</v>
      </c>
      <c r="E134" t="s">
        <v>119</v>
      </c>
    </row>
    <row r="135" spans="1:5">
      <c r="A135">
        <v>4</v>
      </c>
      <c r="B135" t="s">
        <v>120</v>
      </c>
      <c r="C135" t="s">
        <v>121</v>
      </c>
      <c r="D135" t="s">
        <v>122</v>
      </c>
      <c r="E135" t="s">
        <v>123</v>
      </c>
    </row>
    <row r="136" spans="1:5">
      <c r="A136">
        <v>4</v>
      </c>
      <c r="B136" t="s">
        <v>124</v>
      </c>
      <c r="C136" t="s">
        <v>125</v>
      </c>
      <c r="D136" t="s">
        <v>126</v>
      </c>
      <c r="E136" t="s">
        <v>127</v>
      </c>
    </row>
    <row r="137" spans="1:5">
      <c r="A137">
        <v>4</v>
      </c>
      <c r="B137" t="s">
        <v>128</v>
      </c>
      <c r="C137" t="s">
        <v>128</v>
      </c>
      <c r="D137" t="s">
        <v>129</v>
      </c>
      <c r="E137" t="s">
        <v>130</v>
      </c>
    </row>
    <row r="138" spans="1:5">
      <c r="A138">
        <v>5</v>
      </c>
      <c r="B138" t="s">
        <v>131</v>
      </c>
      <c r="C138" t="s">
        <v>132</v>
      </c>
      <c r="D138" t="s">
        <v>133</v>
      </c>
      <c r="E138" t="s">
        <v>134</v>
      </c>
    </row>
    <row r="139" spans="1:5">
      <c r="A139">
        <v>5</v>
      </c>
      <c r="B139" t="s">
        <v>135</v>
      </c>
      <c r="C139" t="s">
        <v>136</v>
      </c>
      <c r="D139" t="s">
        <v>137</v>
      </c>
      <c r="E139" t="s">
        <v>138</v>
      </c>
    </row>
    <row r="140" spans="1:5">
      <c r="A140">
        <v>6</v>
      </c>
      <c r="B140" t="s">
        <v>139</v>
      </c>
      <c r="C140" t="s">
        <v>140</v>
      </c>
      <c r="D140" t="s">
        <v>141</v>
      </c>
      <c r="E140" t="s">
        <v>142</v>
      </c>
    </row>
    <row r="141" spans="1:5">
      <c r="A141">
        <v>6</v>
      </c>
      <c r="B141" t="s">
        <v>143</v>
      </c>
      <c r="C141" t="s">
        <v>144</v>
      </c>
      <c r="D141" t="s">
        <v>145</v>
      </c>
      <c r="E141" t="s">
        <v>146</v>
      </c>
    </row>
    <row r="142" spans="1:5">
      <c r="B142" t="s">
        <v>147</v>
      </c>
    </row>
    <row r="144" spans="1:5">
      <c r="B144" t="s">
        <v>618</v>
      </c>
      <c r="C144" t="s">
        <v>619</v>
      </c>
    </row>
    <row r="145" spans="2:3">
      <c r="B145" t="s">
        <v>620</v>
      </c>
      <c r="C145" t="s">
        <v>621</v>
      </c>
    </row>
    <row r="146" spans="2:3">
      <c r="B146" t="s">
        <v>622</v>
      </c>
      <c r="C146" t="s">
        <v>623</v>
      </c>
    </row>
    <row r="147" spans="2:3">
      <c r="B147" t="s">
        <v>624</v>
      </c>
      <c r="C147" t="s">
        <v>625</v>
      </c>
    </row>
    <row r="148" spans="2:3">
      <c r="B148" t="s">
        <v>192</v>
      </c>
      <c r="C148" t="s">
        <v>193</v>
      </c>
    </row>
    <row r="150" spans="2:3">
      <c r="B150" t="s">
        <v>626</v>
      </c>
      <c r="C150" t="s">
        <v>627</v>
      </c>
    </row>
    <row r="152" spans="2:3">
      <c r="B152" t="s">
        <v>628</v>
      </c>
      <c r="C152" t="s">
        <v>629</v>
      </c>
    </row>
    <row r="153" spans="2:3">
      <c r="B153" t="s">
        <v>630</v>
      </c>
      <c r="C153" t="s">
        <v>631</v>
      </c>
    </row>
    <row r="156" spans="2:3">
      <c r="B156" t="s">
        <v>632</v>
      </c>
      <c r="C156" t="s">
        <v>633</v>
      </c>
    </row>
    <row r="158" spans="2:3">
      <c r="B158" t="s">
        <v>634</v>
      </c>
      <c r="C158" t="s">
        <v>635</v>
      </c>
    </row>
    <row r="159" spans="2:3">
      <c r="B159" t="s">
        <v>636</v>
      </c>
      <c r="C159" t="s">
        <v>637</v>
      </c>
    </row>
    <row r="160" spans="2:3">
      <c r="B160" t="s">
        <v>638</v>
      </c>
      <c r="C160" t="s">
        <v>639</v>
      </c>
    </row>
    <row r="161" spans="2:3">
      <c r="B161" t="s">
        <v>640</v>
      </c>
      <c r="C161" t="s">
        <v>641</v>
      </c>
    </row>
    <row r="162" spans="2:3">
      <c r="B162" t="s">
        <v>642</v>
      </c>
      <c r="C162" t="s">
        <v>643</v>
      </c>
    </row>
    <row r="163" spans="2:3">
      <c r="B163" t="s">
        <v>644</v>
      </c>
      <c r="C163" t="s">
        <v>645</v>
      </c>
    </row>
    <row r="164" spans="2:3">
      <c r="B164" t="s">
        <v>646</v>
      </c>
      <c r="C164" t="s">
        <v>647</v>
      </c>
    </row>
    <row r="165" spans="2:3">
      <c r="B165" t="s">
        <v>648</v>
      </c>
      <c r="C165" t="s">
        <v>649</v>
      </c>
    </row>
    <row r="166" spans="2:3">
      <c r="B166" t="s">
        <v>650</v>
      </c>
      <c r="C166" t="s">
        <v>651</v>
      </c>
    </row>
    <row r="167" spans="2:3">
      <c r="B167" t="s">
        <v>652</v>
      </c>
      <c r="C167" t="s">
        <v>653</v>
      </c>
    </row>
    <row r="168" spans="2:3">
      <c r="B168" t="s">
        <v>654</v>
      </c>
      <c r="C168" t="s">
        <v>655</v>
      </c>
    </row>
    <row r="172" spans="2:3">
      <c r="B172" t="s">
        <v>656</v>
      </c>
      <c r="C172" t="s">
        <v>657</v>
      </c>
    </row>
    <row r="173" spans="2:3">
      <c r="B173" t="s">
        <v>658</v>
      </c>
      <c r="C173" t="s">
        <v>659</v>
      </c>
    </row>
    <row r="174" spans="2:3">
      <c r="B174" t="s">
        <v>660</v>
      </c>
      <c r="C174" t="s">
        <v>661</v>
      </c>
    </row>
    <row r="175" spans="2:3">
      <c r="B175" t="s">
        <v>662</v>
      </c>
      <c r="C175" t="s">
        <v>663</v>
      </c>
    </row>
    <row r="177" spans="2:3">
      <c r="B177" t="s">
        <v>626</v>
      </c>
      <c r="C177" t="s">
        <v>664</v>
      </c>
    </row>
    <row r="179" spans="2:3">
      <c r="B179" t="s">
        <v>665</v>
      </c>
      <c r="C179" t="s">
        <v>666</v>
      </c>
    </row>
    <row r="180" spans="2:3">
      <c r="B180" t="s">
        <v>667</v>
      </c>
      <c r="C180" t="s">
        <v>668</v>
      </c>
    </row>
    <row r="181" spans="2:3">
      <c r="B181" t="s">
        <v>669</v>
      </c>
      <c r="C181" t="s">
        <v>670</v>
      </c>
    </row>
    <row r="182" spans="2:3">
      <c r="B182" t="s">
        <v>671</v>
      </c>
      <c r="C182" t="s">
        <v>672</v>
      </c>
    </row>
    <row r="183" spans="2:3">
      <c r="B183" t="s">
        <v>673</v>
      </c>
      <c r="C183" t="s">
        <v>674</v>
      </c>
    </row>
    <row r="184" spans="2:3">
      <c r="B184" t="s">
        <v>675</v>
      </c>
      <c r="C184" t="s">
        <v>676</v>
      </c>
    </row>
    <row r="185" spans="2:3">
      <c r="B185" t="s">
        <v>677</v>
      </c>
      <c r="C185" t="s">
        <v>678</v>
      </c>
    </row>
    <row r="186" spans="2:3">
      <c r="B186" t="s">
        <v>679</v>
      </c>
      <c r="C186" t="s">
        <v>679</v>
      </c>
    </row>
    <row r="187" spans="2:3">
      <c r="B187" t="s">
        <v>680</v>
      </c>
      <c r="C187" t="s">
        <v>681</v>
      </c>
    </row>
    <row r="188" spans="2:3">
      <c r="B188" t="s">
        <v>682</v>
      </c>
      <c r="C188" t="s">
        <v>683</v>
      </c>
    </row>
    <row r="189" spans="2:3">
      <c r="B189" t="s">
        <v>684</v>
      </c>
      <c r="C189" t="s">
        <v>685</v>
      </c>
    </row>
    <row r="191" spans="2:3">
      <c r="B191" t="s">
        <v>686</v>
      </c>
      <c r="C191" t="s">
        <v>687</v>
      </c>
    </row>
    <row r="192" spans="2:3">
      <c r="B192" t="s">
        <v>688</v>
      </c>
      <c r="C192" t="s">
        <v>689</v>
      </c>
    </row>
    <row r="193" spans="2:3">
      <c r="B193" t="s">
        <v>690</v>
      </c>
      <c r="C193" t="s">
        <v>691</v>
      </c>
    </row>
    <row r="194" spans="2:3">
      <c r="B194" t="s">
        <v>692</v>
      </c>
      <c r="C194" t="s">
        <v>693</v>
      </c>
    </row>
    <row r="195" spans="2:3">
      <c r="B195" t="s">
        <v>694</v>
      </c>
      <c r="C195" t="s">
        <v>695</v>
      </c>
    </row>
    <row r="196" spans="2:3">
      <c r="B196" t="s">
        <v>696</v>
      </c>
      <c r="C196" t="s">
        <v>697</v>
      </c>
    </row>
    <row r="197" spans="2:3">
      <c r="B197" t="s">
        <v>698</v>
      </c>
      <c r="C197" t="s">
        <v>699</v>
      </c>
    </row>
    <row r="198" spans="2:3">
      <c r="B198" t="s">
        <v>700</v>
      </c>
      <c r="C198" t="s">
        <v>701</v>
      </c>
    </row>
    <row r="199" spans="2:3">
      <c r="B199" t="s">
        <v>702</v>
      </c>
    </row>
    <row r="200" spans="2:3">
      <c r="B200" t="s">
        <v>703</v>
      </c>
      <c r="C200" t="s">
        <v>704</v>
      </c>
    </row>
    <row r="201" spans="2:3">
      <c r="B201" t="s">
        <v>705</v>
      </c>
      <c r="C201" t="s">
        <v>706</v>
      </c>
    </row>
    <row r="202" spans="2:3">
      <c r="B202" t="s">
        <v>707</v>
      </c>
      <c r="C202" t="s">
        <v>708</v>
      </c>
    </row>
    <row r="203" spans="2:3">
      <c r="B203" t="s">
        <v>709</v>
      </c>
      <c r="C203" t="s">
        <v>710</v>
      </c>
    </row>
    <row r="204" spans="2:3">
      <c r="B204" t="s">
        <v>711</v>
      </c>
      <c r="C204" t="s">
        <v>712</v>
      </c>
    </row>
    <row r="205" spans="2:3">
      <c r="B205" t="s">
        <v>713</v>
      </c>
      <c r="C205" t="s">
        <v>714</v>
      </c>
    </row>
    <row r="206" spans="2:3">
      <c r="B206" t="s">
        <v>715</v>
      </c>
      <c r="C206" t="s">
        <v>716</v>
      </c>
    </row>
    <row r="207" spans="2:3">
      <c r="B207" t="s">
        <v>717</v>
      </c>
      <c r="C207" t="s">
        <v>718</v>
      </c>
    </row>
    <row r="208" spans="2:3">
      <c r="B208" t="s">
        <v>719</v>
      </c>
      <c r="C208" t="s">
        <v>720</v>
      </c>
    </row>
    <row r="209" spans="2:3">
      <c r="B209" t="s">
        <v>721</v>
      </c>
      <c r="C209" t="s">
        <v>722</v>
      </c>
    </row>
    <row r="210" spans="2:3">
      <c r="B210" t="s">
        <v>723</v>
      </c>
      <c r="C210" t="s">
        <v>724</v>
      </c>
    </row>
    <row r="211" spans="2:3">
      <c r="B211" t="s">
        <v>725</v>
      </c>
      <c r="C211" t="s">
        <v>726</v>
      </c>
    </row>
    <row r="212" spans="2:3">
      <c r="B212" t="s">
        <v>727</v>
      </c>
      <c r="C212" t="s">
        <v>728</v>
      </c>
    </row>
    <row r="214" spans="2:3">
      <c r="B214" t="s">
        <v>729</v>
      </c>
      <c r="C214" t="s">
        <v>730</v>
      </c>
    </row>
    <row r="215" spans="2:3">
      <c r="B215" t="s">
        <v>372</v>
      </c>
      <c r="C215" t="s">
        <v>731</v>
      </c>
    </row>
    <row r="217" spans="2:3">
      <c r="B217" t="s">
        <v>732</v>
      </c>
      <c r="C217" t="s">
        <v>733</v>
      </c>
    </row>
    <row r="218" spans="2:3">
      <c r="B218" t="s">
        <v>734</v>
      </c>
      <c r="C218" t="s">
        <v>735</v>
      </c>
    </row>
    <row r="219" spans="2:3">
      <c r="B219" t="s">
        <v>736</v>
      </c>
      <c r="C219" t="s">
        <v>737</v>
      </c>
    </row>
    <row r="220" spans="2:3">
      <c r="B220" t="s">
        <v>738</v>
      </c>
      <c r="C220" t="s">
        <v>739</v>
      </c>
    </row>
    <row r="221" spans="2:3">
      <c r="B221" t="s">
        <v>740</v>
      </c>
      <c r="C221" t="s">
        <v>741</v>
      </c>
    </row>
    <row r="222" spans="2:3">
      <c r="B222" t="s">
        <v>742</v>
      </c>
      <c r="C222" t="s">
        <v>743</v>
      </c>
    </row>
    <row r="223" spans="2:3">
      <c r="B223" t="s">
        <v>744</v>
      </c>
      <c r="C223" t="s">
        <v>745</v>
      </c>
    </row>
    <row r="225" spans="2:3">
      <c r="B225" t="s">
        <v>746</v>
      </c>
      <c r="C225" t="s">
        <v>747</v>
      </c>
    </row>
    <row r="226" spans="2:3">
      <c r="B226" t="s">
        <v>748</v>
      </c>
      <c r="C226" t="s">
        <v>749</v>
      </c>
    </row>
    <row r="227" spans="2:3">
      <c r="B227" t="s">
        <v>750</v>
      </c>
      <c r="C227" t="s">
        <v>751</v>
      </c>
    </row>
    <row r="229" spans="2:3">
      <c r="B229" t="s">
        <v>752</v>
      </c>
      <c r="C229" t="s">
        <v>753</v>
      </c>
    </row>
    <row r="230" spans="2:3">
      <c r="B230" t="s">
        <v>754</v>
      </c>
      <c r="C230" t="s">
        <v>755</v>
      </c>
    </row>
    <row r="231" spans="2:3">
      <c r="B231" t="s">
        <v>756</v>
      </c>
      <c r="C231" t="s">
        <v>757</v>
      </c>
    </row>
    <row r="232" spans="2:3">
      <c r="B232" t="s">
        <v>758</v>
      </c>
      <c r="C232" t="s">
        <v>759</v>
      </c>
    </row>
    <row r="233" spans="2:3">
      <c r="B233" t="s">
        <v>760</v>
      </c>
      <c r="C233" t="s">
        <v>761</v>
      </c>
    </row>
    <row r="234" spans="2:3">
      <c r="B234" t="s">
        <v>762</v>
      </c>
      <c r="C234" t="s">
        <v>763</v>
      </c>
    </row>
    <row r="235" spans="2:3">
      <c r="B235" t="s">
        <v>764</v>
      </c>
      <c r="C235" t="s">
        <v>765</v>
      </c>
    </row>
    <row r="237" spans="2:3">
      <c r="B237" t="s">
        <v>766</v>
      </c>
      <c r="C237" t="s">
        <v>767</v>
      </c>
    </row>
    <row r="238" spans="2:3">
      <c r="B238" t="s">
        <v>768</v>
      </c>
      <c r="C238" t="s">
        <v>769</v>
      </c>
    </row>
    <row r="239" spans="2:3">
      <c r="B239" t="s">
        <v>770</v>
      </c>
      <c r="C239" t="s">
        <v>771</v>
      </c>
    </row>
    <row r="240" spans="2:3">
      <c r="B240" t="s">
        <v>772</v>
      </c>
      <c r="C240" t="s">
        <v>773</v>
      </c>
    </row>
    <row r="242" spans="2:3">
      <c r="B242" t="s">
        <v>774</v>
      </c>
      <c r="C242" t="s">
        <v>775</v>
      </c>
    </row>
    <row r="243" spans="2:3">
      <c r="B243" t="s">
        <v>776</v>
      </c>
      <c r="C243" t="s">
        <v>777</v>
      </c>
    </row>
    <row r="244" spans="2:3">
      <c r="B244" t="s">
        <v>778</v>
      </c>
      <c r="C244" t="s">
        <v>779</v>
      </c>
    </row>
    <row r="245" spans="2:3">
      <c r="B245" t="s">
        <v>736</v>
      </c>
      <c r="C245" t="s">
        <v>737</v>
      </c>
    </row>
    <row r="247" spans="2:3">
      <c r="B247" t="s">
        <v>396</v>
      </c>
      <c r="C247" t="s">
        <v>397</v>
      </c>
    </row>
    <row r="248" spans="2:3">
      <c r="B248" t="s">
        <v>780</v>
      </c>
      <c r="C248" t="s">
        <v>781</v>
      </c>
    </row>
    <row r="249" spans="2:3">
      <c r="B249" t="s">
        <v>782</v>
      </c>
      <c r="C249" t="s">
        <v>783</v>
      </c>
    </row>
    <row r="250" spans="2:3">
      <c r="B250" t="s">
        <v>784</v>
      </c>
      <c r="C250" t="s">
        <v>785</v>
      </c>
    </row>
    <row r="251" spans="2:3">
      <c r="B251" t="s">
        <v>786</v>
      </c>
      <c r="C251" t="s">
        <v>787</v>
      </c>
    </row>
    <row r="253" spans="2:3" ht="16.5">
      <c r="B253" s="223" t="s">
        <v>788</v>
      </c>
      <c r="C253" s="137" t="s">
        <v>789</v>
      </c>
    </row>
    <row r="255" spans="2:3" ht="16.5">
      <c r="B255" s="138" t="s">
        <v>790</v>
      </c>
      <c r="C255" s="138" t="s">
        <v>791</v>
      </c>
    </row>
    <row r="257" spans="2:3">
      <c r="B257" t="s">
        <v>792</v>
      </c>
      <c r="C257" t="s">
        <v>793</v>
      </c>
    </row>
    <row r="258" spans="2:3">
      <c r="B258" t="s">
        <v>794</v>
      </c>
      <c r="C258" t="s">
        <v>795</v>
      </c>
    </row>
    <row r="259" spans="2:3">
      <c r="B259" t="s">
        <v>796</v>
      </c>
      <c r="C259" t="s">
        <v>797</v>
      </c>
    </row>
    <row r="260" spans="2:3">
      <c r="B260" t="s">
        <v>798</v>
      </c>
      <c r="C260" t="s">
        <v>799</v>
      </c>
    </row>
    <row r="261" spans="2:3">
      <c r="B261" t="s">
        <v>800</v>
      </c>
      <c r="C261" t="s">
        <v>801</v>
      </c>
    </row>
    <row r="262" spans="2:3">
      <c r="B262" t="s">
        <v>802</v>
      </c>
      <c r="C262" t="s">
        <v>803</v>
      </c>
    </row>
    <row r="263" spans="2:3">
      <c r="B263" t="s">
        <v>804</v>
      </c>
      <c r="C263" t="s">
        <v>805</v>
      </c>
    </row>
    <row r="264" spans="2:3">
      <c r="B264" t="s">
        <v>806</v>
      </c>
      <c r="C264" t="s">
        <v>807</v>
      </c>
    </row>
    <row r="265" spans="2:3">
      <c r="B265" t="s">
        <v>808</v>
      </c>
      <c r="C265" t="s">
        <v>809</v>
      </c>
    </row>
    <row r="266" spans="2:3">
      <c r="B266" t="s">
        <v>810</v>
      </c>
      <c r="C266" t="s">
        <v>811</v>
      </c>
    </row>
    <row r="267" spans="2:3">
      <c r="B267" t="s">
        <v>812</v>
      </c>
      <c r="C267" t="s">
        <v>813</v>
      </c>
    </row>
    <row r="268" spans="2:3">
      <c r="B268" t="s">
        <v>534</v>
      </c>
      <c r="C268" t="s">
        <v>535</v>
      </c>
    </row>
    <row r="269" spans="2:3">
      <c r="B269" t="s">
        <v>814</v>
      </c>
      <c r="C269" t="s">
        <v>815</v>
      </c>
    </row>
    <row r="270" spans="2:3">
      <c r="B270" t="s">
        <v>816</v>
      </c>
      <c r="C270" t="s">
        <v>817</v>
      </c>
    </row>
    <row r="271" spans="2:3">
      <c r="B271" t="s">
        <v>818</v>
      </c>
      <c r="C271" t="s">
        <v>818</v>
      </c>
    </row>
    <row r="272" spans="2:3">
      <c r="B272" t="s">
        <v>527</v>
      </c>
      <c r="C272" t="s">
        <v>527</v>
      </c>
    </row>
    <row r="273" spans="2:3">
      <c r="B273" t="s">
        <v>819</v>
      </c>
      <c r="C273" t="s">
        <v>820</v>
      </c>
    </row>
    <row r="274" spans="2:3">
      <c r="B274" t="s">
        <v>821</v>
      </c>
      <c r="C274" t="s">
        <v>822</v>
      </c>
    </row>
  </sheetData>
  <dataValidations count="1">
    <dataValidation type="list" allowBlank="1" showInputMessage="1" showErrorMessage="1" sqref="C4" xr:uid="{2DA79F12-625F-4C2A-861B-F60B9D7B8F15}">
      <formula1>"1,2"</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7105" r:id="rId4" name="Option Button 1">
              <controlPr defaultSize="0" print="0" autoFill="0" autoLine="0" autoPict="0">
                <anchor moveWithCells="1">
                  <from>
                    <xdr:col>1</xdr:col>
                    <xdr:colOff>533400</xdr:colOff>
                    <xdr:row>0</xdr:row>
                    <xdr:rowOff>161925</xdr:rowOff>
                  </from>
                  <to>
                    <xdr:col>1</xdr:col>
                    <xdr:colOff>1638300</xdr:colOff>
                    <xdr:row>3</xdr:row>
                    <xdr:rowOff>142875</xdr:rowOff>
                  </to>
                </anchor>
              </controlPr>
            </control>
          </mc:Choice>
        </mc:AlternateContent>
        <mc:AlternateContent xmlns:mc="http://schemas.openxmlformats.org/markup-compatibility/2006">
          <mc:Choice Requires="x14">
            <control shapeId="47106" r:id="rId5" name="Option Button 2">
              <controlPr defaultSize="0" autoFill="0" autoLine="0" autoPict="0">
                <anchor moveWithCells="1">
                  <from>
                    <xdr:col>1</xdr:col>
                    <xdr:colOff>533400</xdr:colOff>
                    <xdr:row>3</xdr:row>
                    <xdr:rowOff>114300</xdr:rowOff>
                  </from>
                  <to>
                    <xdr:col>1</xdr:col>
                    <xdr:colOff>1333500</xdr:colOff>
                    <xdr:row>5</xdr:row>
                    <xdr:rowOff>123825</xdr:rowOff>
                  </to>
                </anchor>
              </controlPr>
            </control>
          </mc:Choice>
        </mc:AlternateContent>
      </controls>
    </mc:Choice>
  </mc:AlternateContent>
  <tableParts count="2">
    <tablePart r:id="rId6"/>
    <tablePart r:id="rId7"/>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C6AA3-5772-43A0-9F7A-0AC480037B5A}">
  <sheetPr codeName="Sheet17">
    <tabColor rgb="FF7030A0"/>
  </sheetPr>
  <dimension ref="B1:M25"/>
  <sheetViews>
    <sheetView showGridLines="0" workbookViewId="0">
      <selection activeCell="B10" sqref="B10"/>
    </sheetView>
  </sheetViews>
  <sheetFormatPr defaultColWidth="9.140625" defaultRowHeight="15"/>
  <cols>
    <col min="1" max="1" width="4.42578125" customWidth="1"/>
    <col min="2" max="2" width="26.28515625" customWidth="1"/>
    <col min="4" max="4" width="26.28515625" customWidth="1"/>
    <col min="5" max="5" width="7.140625" customWidth="1"/>
  </cols>
  <sheetData>
    <row r="1" spans="2:13" s="62" customFormat="1"/>
    <row r="2" spans="2:13" s="62" customFormat="1" ht="18.75">
      <c r="G2" s="217" t="s">
        <v>823</v>
      </c>
      <c r="J2" s="217" t="s">
        <v>824</v>
      </c>
    </row>
    <row r="3" spans="2:13" s="23" customFormat="1" ht="54.75" customHeight="1">
      <c r="B3" s="218" t="str" cm="1">
        <f t="array" ref="B3">TranslateMe(14)</f>
        <v>Array functions</v>
      </c>
    </row>
    <row r="5" spans="2:13" ht="33.75" customHeight="1">
      <c r="B5" s="46" t="str">
        <f>HYPERLINK("#'"&amp;TRAD!D14&amp;"'!A1",TRAD!F14)</f>
        <v>Array functions</v>
      </c>
      <c r="C5" s="46"/>
      <c r="D5" s="46"/>
      <c r="M5" s="31"/>
    </row>
    <row r="6" spans="2:13" ht="33.75" customHeight="1">
      <c r="B6" s="46" t="str">
        <f>HYPERLINK("#'"&amp;TRAD!D13&amp;"'!A1",TRAD!F13)</f>
        <v>List of Excel 365-Exclusive Functions</v>
      </c>
      <c r="C6" s="46"/>
      <c r="D6" s="46"/>
      <c r="M6" s="31"/>
    </row>
    <row r="7" spans="2:13" ht="33.75" customHeight="1">
      <c r="B7" s="46" t="str">
        <f>HYPERLINK("#'"&amp;TRAD!D20&amp;"'!A1",TRAD!F20)</f>
        <v>SUMPRODUCT</v>
      </c>
      <c r="C7" s="46"/>
      <c r="D7" s="46"/>
      <c r="M7" s="31"/>
    </row>
    <row r="8" spans="2:13" ht="33.75" customHeight="1">
      <c r="B8" s="46" t="str">
        <f>HYPERLINK("#'"&amp;TRAD!D23&amp;"'!A1",TRAD!F23)</f>
        <v>FILTER</v>
      </c>
      <c r="C8" s="46"/>
      <c r="D8" s="46"/>
      <c r="M8" s="31"/>
    </row>
    <row r="9" spans="2:13" ht="33.75" customHeight="1">
      <c r="B9" s="46" t="str">
        <f>HYPERLINK("#'"&amp;TRAD!D24&amp;"'!A1",TRAD!F24)</f>
        <v>SORT | SORTBY</v>
      </c>
      <c r="C9" s="46"/>
      <c r="D9" s="46"/>
      <c r="M9" s="31"/>
    </row>
    <row r="10" spans="2:13" ht="33.75" customHeight="1">
      <c r="B10" s="46" t="str">
        <f>HYPERLINK("#'"&amp;TRAD!D25&amp;"'!A1",TRAD!F25)</f>
        <v>INDEX | XMATCH | OFFSET</v>
      </c>
      <c r="C10" s="46"/>
      <c r="D10" s="46"/>
      <c r="M10" s="31"/>
    </row>
    <row r="11" spans="2:13" ht="33.75" customHeight="1">
      <c r="B11" s="46" t="str">
        <f>HYPERLINK("#'"&amp;TRAD!D26&amp;"'!A1",TRAD!F26)</f>
        <v xml:space="preserve">VLOOKUP </v>
      </c>
      <c r="C11" s="46"/>
      <c r="D11" s="46"/>
      <c r="M11" s="31"/>
    </row>
    <row r="12" spans="2:13" ht="33.75" customHeight="1">
      <c r="B12" s="46" t="str">
        <f>HYPERLINK("#'"&amp;TRAD!D28&amp;"'!A1",TRAD!F28)</f>
        <v>XLOOKUP</v>
      </c>
      <c r="C12" s="46"/>
      <c r="D12" s="46"/>
      <c r="M12" s="31"/>
    </row>
    <row r="13" spans="2:13" ht="33.75" customHeight="1">
      <c r="B13" s="46" t="str">
        <f>HYPERLINK("#'"&amp;TRAD!D31&amp;"'!A1",TRAD!F31)</f>
        <v>MATRIX HANDLING</v>
      </c>
      <c r="C13" s="46"/>
      <c r="D13" s="46"/>
      <c r="M13" s="31"/>
    </row>
    <row r="14" spans="2:13" ht="33.75" customHeight="1">
      <c r="B14" s="46" t="str">
        <f>HYPERLINK("#'"&amp;TRAD!D29&amp;"'!A1",TRAD!F29)</f>
        <v>FREQUENCY - RANK.EQ</v>
      </c>
      <c r="C14" s="46"/>
      <c r="D14" s="46"/>
      <c r="M14" s="31"/>
    </row>
    <row r="15" spans="2:13">
      <c r="M15" s="31"/>
    </row>
    <row r="16" spans="2:13">
      <c r="M16" s="31"/>
    </row>
    <row r="17" spans="2:13">
      <c r="M17" s="31"/>
    </row>
    <row r="18" spans="2:13">
      <c r="M18" s="31"/>
    </row>
    <row r="19" spans="2:13">
      <c r="M19" s="31"/>
    </row>
    <row r="20" spans="2:13">
      <c r="M20" s="31"/>
    </row>
    <row r="21" spans="2:13" ht="28.5" customHeight="1">
      <c r="B21" t="e" vm="1">
        <v>#VALUE!</v>
      </c>
      <c r="M21" s="31"/>
    </row>
    <row r="22" spans="2:13" ht="28.5" customHeight="1">
      <c r="B22" s="105" t="s">
        <v>825</v>
      </c>
      <c r="M22" s="31"/>
    </row>
    <row r="23" spans="2:13" ht="28.5" customHeight="1">
      <c r="B23" s="105" t="s">
        <v>826</v>
      </c>
      <c r="M23" s="31"/>
    </row>
    <row r="24" spans="2:13">
      <c r="M24" s="31"/>
    </row>
    <row r="25" spans="2:13">
      <c r="H25" s="25"/>
      <c r="M25" s="31"/>
    </row>
  </sheetData>
  <hyperlinks>
    <hyperlink ref="J2" r:id="rId1" xr:uid="{16DFD010-30F3-4F3E-9204-ABE5B45CBC1B}"/>
    <hyperlink ref="B22" r:id="rId2" location="bm21" display="Excel functions (alphabatival)" xr:uid="{FAE88287-61AE-4E49-928F-8AF9DB3CB794}"/>
    <hyperlink ref="B23" r:id="rId3" location="bm21" xr:uid="{3497A55F-4585-4E4A-86E9-ED9A9C73D422}"/>
  </hyperlinks>
  <pageMargins left="0.7" right="0.7" top="0.75" bottom="0.75" header="0.3" footer="0.3"/>
  <pageSetup paperSize="9" orientation="portrait" horizontalDpi="4294967293" verticalDpi="0" r:id="rId4"/>
  <drawing r:id="rId5"/>
  <legacyDrawing r:id="rId6"/>
  <mc:AlternateContent xmlns:mc="http://schemas.openxmlformats.org/markup-compatibility/2006">
    <mc:Choice Requires="x14">
      <controls>
        <mc:AlternateContent xmlns:mc="http://schemas.openxmlformats.org/markup-compatibility/2006">
          <mc:Choice Requires="x14">
            <control shapeId="18441" r:id="rId7" name="Drop Down 9">
              <controlPr defaultSize="0" autoLine="0" autoPict="0">
                <anchor moveWithCells="1">
                  <from>
                    <xdr:col>1</xdr:col>
                    <xdr:colOff>47625</xdr:colOff>
                    <xdr:row>0</xdr:row>
                    <xdr:rowOff>47625</xdr:rowOff>
                  </from>
                  <to>
                    <xdr:col>1</xdr:col>
                    <xdr:colOff>1714500</xdr:colOff>
                    <xdr:row>1</xdr:row>
                    <xdr:rowOff>142875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33772-9ABE-47B1-8A14-921416A0C8B2}">
  <sheetPr codeName="Sheet2">
    <tabColor theme="2"/>
  </sheetPr>
  <dimension ref="A1:F53"/>
  <sheetViews>
    <sheetView workbookViewId="0">
      <selection activeCell="B13" sqref="B13"/>
    </sheetView>
  </sheetViews>
  <sheetFormatPr defaultColWidth="11.42578125" defaultRowHeight="15"/>
  <cols>
    <col min="1" max="1" width="8.7109375" customWidth="1"/>
    <col min="2" max="2" width="56.140625" bestFit="1" customWidth="1"/>
    <col min="3" max="3" width="106.28515625" bestFit="1" customWidth="1"/>
    <col min="5" max="5" width="24.5703125" customWidth="1"/>
    <col min="9" max="9" width="6.85546875" customWidth="1"/>
    <col min="12" max="12" width="6.28515625" customWidth="1"/>
    <col min="13" max="13" width="15" bestFit="1" customWidth="1"/>
    <col min="17" max="17" width="14.85546875" bestFit="1" customWidth="1"/>
  </cols>
  <sheetData>
    <row r="1" spans="1:6" s="44" customFormat="1" ht="68.25" customHeight="1">
      <c r="A1" s="50" t="e" vm="2">
        <v>#VALUE!</v>
      </c>
      <c r="B1" s="44" t="e" vm="3">
        <v>#VALUE!</v>
      </c>
      <c r="C1" s="51" t="str" cm="1">
        <f t="array" ref="C1">TranslateMe(13)</f>
        <v>List of Excel 365-Exclusive Functions</v>
      </c>
    </row>
    <row r="3" spans="1:6" s="61" customFormat="1" ht="33.75">
      <c r="B3" s="61" t="str" cm="1">
        <f t="array" ref="B3">"1."&amp;TranslateMe(247)</f>
        <v>1.Array functions</v>
      </c>
    </row>
    <row r="5" spans="1:6" ht="21">
      <c r="B5" s="86" t="s">
        <v>6</v>
      </c>
      <c r="C5" s="87" t="s">
        <v>8</v>
      </c>
      <c r="F5" s="84"/>
    </row>
    <row r="6" spans="1:6" ht="21">
      <c r="B6" s="86" t="s">
        <v>10</v>
      </c>
      <c r="C6" s="87" t="s">
        <v>12</v>
      </c>
      <c r="F6" s="84"/>
    </row>
    <row r="7" spans="1:6" ht="21">
      <c r="B7" s="86" t="s">
        <v>14</v>
      </c>
      <c r="C7" s="87" t="s">
        <v>16</v>
      </c>
      <c r="F7" s="84"/>
    </row>
    <row r="8" spans="1:6" ht="21">
      <c r="B8" s="86" t="s">
        <v>17</v>
      </c>
      <c r="C8" s="87" t="s">
        <v>19</v>
      </c>
      <c r="F8" s="84"/>
    </row>
    <row r="9" spans="1:6" ht="21">
      <c r="B9" s="86" t="s">
        <v>20</v>
      </c>
      <c r="C9" s="87" t="s">
        <v>22</v>
      </c>
      <c r="F9" s="84"/>
    </row>
    <row r="10" spans="1:6" ht="21">
      <c r="B10" s="86" t="s">
        <v>24</v>
      </c>
      <c r="C10" s="87" t="s">
        <v>26</v>
      </c>
      <c r="F10" s="84"/>
    </row>
    <row r="11" spans="1:6" ht="21">
      <c r="B11" s="86" t="s">
        <v>610</v>
      </c>
      <c r="C11" s="87" t="s">
        <v>612</v>
      </c>
      <c r="F11" s="84"/>
    </row>
    <row r="12" spans="1:6" ht="21">
      <c r="B12" s="86" t="s">
        <v>28</v>
      </c>
      <c r="C12" s="87" t="s">
        <v>30</v>
      </c>
      <c r="F12" s="84"/>
    </row>
    <row r="13" spans="1:6" ht="21">
      <c r="B13" s="86" t="s">
        <v>32</v>
      </c>
      <c r="C13" s="87" t="s">
        <v>34</v>
      </c>
      <c r="F13" s="84"/>
    </row>
    <row r="14" spans="1:6" ht="21">
      <c r="B14" s="86" t="s">
        <v>613</v>
      </c>
      <c r="C14" s="87" t="s">
        <v>38</v>
      </c>
      <c r="F14" s="84"/>
    </row>
    <row r="15" spans="1:6" ht="21">
      <c r="B15" s="86" t="s">
        <v>40</v>
      </c>
      <c r="C15" s="87" t="s">
        <v>42</v>
      </c>
      <c r="F15" s="84"/>
    </row>
    <row r="16" spans="1:6" ht="21">
      <c r="B16" s="86" t="s">
        <v>44</v>
      </c>
      <c r="C16" s="87" t="s">
        <v>46</v>
      </c>
      <c r="F16" s="84"/>
    </row>
    <row r="17" spans="1:6" ht="21">
      <c r="B17" s="86" t="s">
        <v>48</v>
      </c>
      <c r="C17" s="87" t="s">
        <v>50</v>
      </c>
      <c r="F17" s="84"/>
    </row>
    <row r="18" spans="1:6" ht="21">
      <c r="B18" s="86" t="s">
        <v>52</v>
      </c>
      <c r="C18" s="87" t="s">
        <v>54</v>
      </c>
      <c r="F18" s="84"/>
    </row>
    <row r="19" spans="1:6" ht="21">
      <c r="B19" s="86" t="s">
        <v>56</v>
      </c>
      <c r="C19" s="87" t="s">
        <v>58</v>
      </c>
      <c r="F19" s="84"/>
    </row>
    <row r="20" spans="1:6" ht="21">
      <c r="B20" s="86" t="s">
        <v>60</v>
      </c>
      <c r="C20" s="87" t="s">
        <v>62</v>
      </c>
      <c r="F20" s="84"/>
    </row>
    <row r="21" spans="1:6" ht="21">
      <c r="B21" s="86" t="s">
        <v>64</v>
      </c>
      <c r="C21" s="87" t="s">
        <v>66</v>
      </c>
      <c r="F21" s="84"/>
    </row>
    <row r="23" spans="1:6" s="61" customFormat="1" ht="33.75">
      <c r="B23" s="61" t="str" cm="1">
        <f t="array" ref="B23">"2."&amp;TranslateMe(248)</f>
        <v>2.New search and index functions</v>
      </c>
    </row>
    <row r="25" spans="1:6" ht="21">
      <c r="B25" s="86" t="s">
        <v>68</v>
      </c>
      <c r="C25" s="87" t="s">
        <v>615</v>
      </c>
      <c r="E25" s="83"/>
      <c r="F25" s="83"/>
    </row>
    <row r="26" spans="1:6" ht="21">
      <c r="B26" s="86" t="s">
        <v>72</v>
      </c>
      <c r="C26" s="87" t="s">
        <v>74</v>
      </c>
      <c r="E26" s="85"/>
      <c r="F26" s="84"/>
    </row>
    <row r="28" spans="1:6" s="61" customFormat="1" ht="33.75">
      <c r="B28" s="61" t="str" cm="1">
        <f t="array" ref="B28">"3."&amp;TranslateMe(249)</f>
        <v>3.Mathematical &amp; statistical functions</v>
      </c>
    </row>
    <row r="29" spans="1:6">
      <c r="B29" s="83"/>
      <c r="C29" s="83"/>
      <c r="E29" s="83"/>
      <c r="F29" s="83"/>
    </row>
    <row r="30" spans="1:6" ht="21">
      <c r="A30" s="31"/>
      <c r="B30" s="86" t="s">
        <v>75</v>
      </c>
      <c r="C30" s="87" t="s">
        <v>77</v>
      </c>
      <c r="E30" s="85"/>
      <c r="F30" s="84"/>
    </row>
    <row r="31" spans="1:6" ht="21">
      <c r="B31" s="86" t="s">
        <v>78</v>
      </c>
      <c r="C31" s="87" t="s">
        <v>80</v>
      </c>
      <c r="E31" s="85"/>
      <c r="F31" s="84"/>
    </row>
    <row r="32" spans="1:6" ht="21">
      <c r="B32" s="86" t="s">
        <v>81</v>
      </c>
      <c r="C32" s="87" t="s">
        <v>83</v>
      </c>
      <c r="E32" s="85"/>
      <c r="F32" s="84"/>
    </row>
    <row r="33" spans="2:6" ht="21">
      <c r="B33" s="86" t="s">
        <v>84</v>
      </c>
      <c r="C33" s="87" t="s">
        <v>86</v>
      </c>
      <c r="E33" s="85"/>
      <c r="F33" s="84"/>
    </row>
    <row r="34" spans="2:6" ht="21">
      <c r="B34" s="86" t="s">
        <v>88</v>
      </c>
      <c r="C34" s="87" t="s">
        <v>90</v>
      </c>
      <c r="E34" s="85"/>
      <c r="F34" s="84"/>
    </row>
    <row r="35" spans="2:6" ht="21">
      <c r="B35" s="86" t="s">
        <v>92</v>
      </c>
      <c r="C35" s="87" t="s">
        <v>94</v>
      </c>
      <c r="E35" s="85"/>
      <c r="F35" s="84"/>
    </row>
    <row r="36" spans="2:6" ht="21">
      <c r="B36" s="86" t="s">
        <v>95</v>
      </c>
      <c r="C36" s="87" t="s">
        <v>97</v>
      </c>
      <c r="E36" s="85"/>
      <c r="F36" s="84"/>
    </row>
    <row r="37" spans="2:6" ht="21">
      <c r="B37" s="86" t="s">
        <v>98</v>
      </c>
      <c r="C37" s="87" t="s">
        <v>100</v>
      </c>
      <c r="E37" s="85"/>
      <c r="F37" s="84"/>
    </row>
    <row r="38" spans="2:6" ht="21">
      <c r="B38" s="86" t="s">
        <v>102</v>
      </c>
      <c r="C38" s="87" t="s">
        <v>104</v>
      </c>
      <c r="E38" s="85"/>
      <c r="F38" s="84"/>
    </row>
    <row r="39" spans="2:6" ht="21">
      <c r="B39" s="86" t="s">
        <v>106</v>
      </c>
      <c r="C39" s="87" t="s">
        <v>108</v>
      </c>
      <c r="E39" s="85"/>
      <c r="F39" s="84"/>
    </row>
    <row r="40" spans="2:6" ht="21">
      <c r="B40" s="86" t="s">
        <v>110</v>
      </c>
      <c r="C40" s="87" t="s">
        <v>112</v>
      </c>
      <c r="E40" s="85"/>
      <c r="F40" s="84"/>
    </row>
    <row r="42" spans="2:6" s="61" customFormat="1" ht="33.75">
      <c r="B42" s="61" t="str" cm="1">
        <f t="array" ref="B42">"4."&amp;TranslateMe(250)</f>
        <v>4.AI based functions</v>
      </c>
    </row>
    <row r="43" spans="2:6">
      <c r="B43" s="83"/>
      <c r="C43" s="83"/>
      <c r="E43" s="83"/>
      <c r="F43" s="83"/>
    </row>
    <row r="44" spans="2:6" ht="21">
      <c r="B44" s="86" t="s">
        <v>113</v>
      </c>
      <c r="C44" s="87" t="s">
        <v>115</v>
      </c>
      <c r="E44" s="85"/>
      <c r="F44" s="84"/>
    </row>
    <row r="45" spans="2:6" ht="21">
      <c r="B45" s="86" t="s">
        <v>117</v>
      </c>
      <c r="C45" s="87" t="s">
        <v>119</v>
      </c>
      <c r="E45" s="85"/>
      <c r="F45" s="84"/>
    </row>
    <row r="46" spans="2:6" ht="21">
      <c r="B46" s="86" t="s">
        <v>121</v>
      </c>
      <c r="C46" s="87" t="s">
        <v>123</v>
      </c>
      <c r="E46" s="85"/>
      <c r="F46" s="84"/>
    </row>
    <row r="47" spans="2:6" ht="21">
      <c r="B47" s="86" t="s">
        <v>125</v>
      </c>
      <c r="C47" s="87" t="s">
        <v>127</v>
      </c>
      <c r="E47" s="85"/>
      <c r="F47" s="84"/>
    </row>
    <row r="48" spans="2:6" ht="21">
      <c r="B48" s="86" t="s">
        <v>128</v>
      </c>
      <c r="C48" s="87" t="s">
        <v>130</v>
      </c>
      <c r="E48" s="85"/>
      <c r="F48" s="84"/>
    </row>
    <row r="50" spans="2:6" s="61" customFormat="1" ht="33.75">
      <c r="B50" s="61" t="str" cm="1">
        <f t="array" ref="B50">"5."&amp;TranslateMe(251)</f>
        <v>5.Advanced error handling</v>
      </c>
    </row>
    <row r="51" spans="2:6">
      <c r="B51" s="83"/>
      <c r="C51" s="83"/>
      <c r="E51" s="83"/>
      <c r="F51" s="83"/>
    </row>
    <row r="52" spans="2:6" ht="21">
      <c r="B52" s="86" t="s">
        <v>132</v>
      </c>
      <c r="C52" s="87" t="s">
        <v>134</v>
      </c>
      <c r="E52" s="85"/>
      <c r="F52" s="84"/>
    </row>
    <row r="53" spans="2:6" ht="21">
      <c r="B53" s="86" t="s">
        <v>136</v>
      </c>
      <c r="C53" s="87" t="s">
        <v>138</v>
      </c>
      <c r="E53" s="85"/>
      <c r="F53" s="84"/>
    </row>
  </sheetData>
  <phoneticPr fontId="3" type="noConversion"/>
  <hyperlinks>
    <hyperlink ref="A1" location="MENU!A1" display="MENU!A1" xr:uid="{7619FE22-ADA5-4EA3-B5A1-86FF62302139}"/>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6CE5A-5F5D-4B2F-B7FB-2F5C262368EF}">
  <sheetPr codeName="Sheet20"/>
  <dimension ref="A1:R116"/>
  <sheetViews>
    <sheetView topLeftCell="A40" workbookViewId="0">
      <selection activeCell="D84" sqref="D84"/>
    </sheetView>
  </sheetViews>
  <sheetFormatPr defaultColWidth="11.42578125" defaultRowHeight="15" outlineLevelRow="1"/>
  <cols>
    <col min="1" max="1" width="19.5703125" bestFit="1" customWidth="1"/>
    <col min="2" max="2" width="25.5703125" customWidth="1"/>
    <col min="3" max="3" width="24" customWidth="1"/>
    <col min="4" max="4" width="23.85546875" customWidth="1"/>
    <col min="5" max="5" width="25.140625" bestFit="1" customWidth="1"/>
    <col min="6" max="6" width="21.7109375" customWidth="1"/>
    <col min="7" max="7" width="30.42578125" customWidth="1"/>
    <col min="8" max="8" width="22.42578125" customWidth="1"/>
    <col min="10" max="10" width="15.85546875" bestFit="1" customWidth="1"/>
    <col min="11" max="11" width="10.28515625" bestFit="1" customWidth="1"/>
    <col min="13" max="13" width="4.5703125" bestFit="1" customWidth="1"/>
  </cols>
  <sheetData>
    <row r="1" spans="1:14" s="44" customFormat="1" ht="68.25" customHeight="1">
      <c r="A1" s="50" t="e" vm="2">
        <v>#VALUE!</v>
      </c>
      <c r="C1" s="51" t="str" cm="1">
        <f t="array" ref="C1">TranslateMe(14)</f>
        <v>Array functions</v>
      </c>
      <c r="G1" s="224" t="str" cm="1">
        <f t="array" ref="G1" xml:space="preserve"> TranslateMe(255)</f>
        <v>An array formula is a formula that works on a set of values [table, matrix] and return a single result or a range of cells (array).</v>
      </c>
      <c r="H1" s="224"/>
      <c r="I1" s="224"/>
      <c r="J1" s="224"/>
      <c r="K1" s="224"/>
      <c r="L1" s="224"/>
      <c r="M1" s="224"/>
      <c r="N1" s="224"/>
    </row>
    <row r="2" spans="1:14" s="15" customFormat="1" ht="33.75">
      <c r="A2" s="59"/>
      <c r="B2" s="59" t="str" cm="1">
        <f t="array" ref="B2">TranslateMe(79)</f>
        <v>Vertical list</v>
      </c>
      <c r="C2" s="59"/>
      <c r="D2" s="59"/>
      <c r="E2" s="59"/>
      <c r="F2" s="59" t="str" cm="1">
        <f t="array" ref="F2">TranslateMe(80)</f>
        <v>Horizontal list</v>
      </c>
      <c r="G2" s="59"/>
      <c r="H2" s="59"/>
    </row>
    <row r="3" spans="1:14" ht="18.75">
      <c r="B3" s="24" t="str">
        <f ca="1">_xlfn.FORMULATEXT(B4)</f>
        <v>={1;2;3;4;5}</v>
      </c>
      <c r="C3" s="24" t="str">
        <f ca="1">_xlfn.FORMULATEXT(C4)</f>
        <v>={"John";"Peter";"Paul"}</v>
      </c>
      <c r="D3" s="5"/>
      <c r="E3" s="5"/>
      <c r="F3" s="24" t="str">
        <f ca="1">_xlfn.FORMULATEXT(F4)</f>
        <v>={"john"."Peter"."Paul"}</v>
      </c>
      <c r="G3" s="5"/>
      <c r="H3" s="5"/>
    </row>
    <row r="4" spans="1:14" ht="23.25">
      <c r="B4" s="63" cm="1">
        <f t="array" ref="B4:B8">{1;2;3;4;5}</f>
        <v>1</v>
      </c>
      <c r="C4" s="63" t="str" cm="1">
        <f t="array" ref="C4:C6">{"John";"Peter";"Paul"}</f>
        <v>John</v>
      </c>
      <c r="D4" s="5"/>
      <c r="E4" s="5"/>
      <c r="F4" s="63" t="str" cm="1">
        <f t="array" ref="F4:H4">{"john","Peter","Paul"}</f>
        <v>john</v>
      </c>
      <c r="G4" s="63" t="str">
        <v>Peter</v>
      </c>
      <c r="H4" s="63" t="str">
        <v>Paul</v>
      </c>
      <c r="J4" s="8" t="str" cm="1">
        <f t="array" ref="J4">TranslateMe(253)</f>
        <v>\' may be replaced by '.' in an horizontal list depending on your windows regional settings</v>
      </c>
    </row>
    <row r="5" spans="1:14" ht="23.25">
      <c r="B5" s="63">
        <v>2</v>
      </c>
      <c r="C5" s="63" t="str">
        <v>Peter</v>
      </c>
      <c r="D5" s="5"/>
      <c r="E5" s="5"/>
      <c r="F5" s="5"/>
      <c r="G5" s="5"/>
      <c r="H5" s="5"/>
    </row>
    <row r="6" spans="1:14" ht="23.25">
      <c r="B6" s="63">
        <v>3</v>
      </c>
      <c r="C6" s="63" t="str">
        <v>Paul</v>
      </c>
      <c r="D6" s="5"/>
      <c r="E6" s="5"/>
      <c r="F6" s="8" t="str" cm="1">
        <f t="array" ref="F6">TranslateMe(258)</f>
        <v>A matrix function only resides in the top left cell of the resulting array</v>
      </c>
    </row>
    <row r="7" spans="1:14" ht="23.25">
      <c r="B7" s="63">
        <v>4</v>
      </c>
      <c r="C7" s="5"/>
      <c r="D7" s="5"/>
      <c r="E7" s="5"/>
      <c r="F7" s="8" t="str" cm="1">
        <f t="array" ref="F7">TranslateMe(259)</f>
        <v>All other results will display the original formula grayed out (not editable).</v>
      </c>
    </row>
    <row r="8" spans="1:14" ht="23.25">
      <c r="B8" s="63">
        <v>5</v>
      </c>
      <c r="C8" s="5"/>
      <c r="D8" s="5"/>
      <c r="E8" s="5"/>
    </row>
    <row r="9" spans="1:14" ht="18.75">
      <c r="B9" s="5"/>
      <c r="C9" s="5"/>
      <c r="D9" s="5"/>
      <c r="E9" s="5"/>
    </row>
    <row r="10" spans="1:14" ht="18.75">
      <c r="B10" s="5"/>
      <c r="C10" s="5"/>
      <c r="D10" s="5"/>
      <c r="E10" s="5"/>
    </row>
    <row r="11" spans="1:14" ht="18.75">
      <c r="B11" s="5" t="str">
        <f ca="1">_xlfn.FORMULATEXT(B12)</f>
        <v>=DANSLIGNE(B4#)</v>
      </c>
      <c r="C11" s="5"/>
      <c r="D11" s="5" t="str" cm="1">
        <f t="array" ref="D11">Translatefct(113,1)</f>
        <v>Arranges values from a single column into multiple columns.</v>
      </c>
    </row>
    <row r="12" spans="1:14" ht="23.25">
      <c r="B12" s="63" cm="1">
        <f t="array" ref="B12:F12">_xlfn.TOROW(_xlfn.ANCHORARRAY(B4))</f>
        <v>1</v>
      </c>
      <c r="C12" s="63">
        <v>2</v>
      </c>
      <c r="D12" s="63">
        <v>3</v>
      </c>
      <c r="E12" s="63">
        <v>4</v>
      </c>
      <c r="F12" s="63">
        <v>5</v>
      </c>
      <c r="H12" s="8" t="str" cm="1">
        <f t="array" ref="H12">TranslateMe(257)</f>
        <v>Use the '#' symbol to select all output values froma  matrix function</v>
      </c>
    </row>
    <row r="13" spans="1:14" ht="18.75">
      <c r="B13" s="5" t="str">
        <f ca="1">_xlfn.FORMULATEXT(B14)</f>
        <v>=TRANSPOSE(B4#)</v>
      </c>
      <c r="C13" s="5"/>
      <c r="D13" s="5"/>
    </row>
    <row r="14" spans="1:14" ht="23.25">
      <c r="B14" s="63" cm="1">
        <f t="array" ref="B14:F14">TRANSPOSE(_xlfn.ANCHORARRAY(B4))</f>
        <v>1</v>
      </c>
      <c r="C14" s="63">
        <v>2</v>
      </c>
      <c r="D14" s="63">
        <v>3</v>
      </c>
      <c r="E14" s="63">
        <v>4</v>
      </c>
      <c r="F14" s="63">
        <v>5</v>
      </c>
    </row>
    <row r="15" spans="1:14" ht="19.5" thickBot="1">
      <c r="B15" s="5"/>
      <c r="C15" s="5"/>
      <c r="D15" s="5"/>
      <c r="E15" s="5"/>
    </row>
    <row r="16" spans="1:14" ht="18.75">
      <c r="A16" s="140"/>
      <c r="B16" s="141" t="str">
        <f ca="1">_xlfn.FORMULATEXT(B17)</f>
        <v>={10.2.3.4.5}</v>
      </c>
      <c r="C16" s="142"/>
      <c r="D16" s="142"/>
      <c r="E16" s="142"/>
      <c r="F16" s="143"/>
      <c r="G16" s="5"/>
      <c r="H16" s="5"/>
    </row>
    <row r="17" spans="1:8" ht="23.25">
      <c r="A17" s="144"/>
      <c r="B17" s="63" cm="1">
        <f t="array" ref="B17:F17">{10,2,3,4,5}</f>
        <v>10</v>
      </c>
      <c r="C17" s="63">
        <v>2</v>
      </c>
      <c r="D17" s="63">
        <v>3</v>
      </c>
      <c r="E17" s="63">
        <v>4</v>
      </c>
      <c r="F17" s="145">
        <v>5</v>
      </c>
      <c r="G17" s="5"/>
      <c r="H17" s="5"/>
    </row>
    <row r="18" spans="1:8" ht="18.75">
      <c r="A18" s="144"/>
      <c r="B18" s="24" t="str">
        <f ca="1">_xlfn.FORMULATEXT(B19)</f>
        <v>=SOMME(B17#*{5.4.3.2.1})</v>
      </c>
      <c r="C18" s="5"/>
      <c r="E18" s="5"/>
      <c r="F18" s="146"/>
      <c r="G18" s="5"/>
      <c r="H18" s="5"/>
    </row>
    <row r="19" spans="1:8" ht="23.25">
      <c r="A19" s="147" t="s">
        <v>827</v>
      </c>
      <c r="B19" s="63" cm="1">
        <f t="array" ref="B19">SUM(_xlfn.ANCHORARRAY(B17)*{5,4,3,2,1})</f>
        <v>80</v>
      </c>
      <c r="C19" s="5"/>
      <c r="E19" s="5"/>
      <c r="F19" s="146"/>
      <c r="G19" s="5"/>
      <c r="H19" s="5"/>
    </row>
    <row r="20" spans="1:8" ht="18.75">
      <c r="A20" s="147"/>
      <c r="C20" s="5"/>
      <c r="E20" s="5"/>
      <c r="F20" s="146"/>
      <c r="G20" s="5"/>
      <c r="H20" s="5"/>
    </row>
    <row r="21" spans="1:8" ht="18.75">
      <c r="A21" s="148" t="str">
        <f ca="1">_xlfn.FORMULATEXT(B21)</f>
        <v>=B17#</v>
      </c>
      <c r="B21" s="8" cm="1">
        <f t="array" ref="B21:F21">_xlfn.ANCHORARRAY(B17)</f>
        <v>10</v>
      </c>
      <c r="C21" s="8">
        <v>2</v>
      </c>
      <c r="D21" s="8">
        <v>3</v>
      </c>
      <c r="E21" s="8">
        <v>4</v>
      </c>
      <c r="F21" s="149">
        <v>5</v>
      </c>
      <c r="G21" s="5"/>
      <c r="H21" s="5"/>
    </row>
    <row r="22" spans="1:8" ht="18.75">
      <c r="A22" s="148" t="str">
        <f t="shared" ref="A22:A23" ca="1" si="0">_xlfn.FORMULATEXT(B22)</f>
        <v>={5.4.3.2.1}</v>
      </c>
      <c r="B22" s="8" cm="1">
        <f t="array" ref="B22:F22">{5,4,3,2,1}</f>
        <v>5</v>
      </c>
      <c r="C22" s="8">
        <v>4</v>
      </c>
      <c r="D22" s="8">
        <v>3</v>
      </c>
      <c r="E22" s="8">
        <v>2</v>
      </c>
      <c r="F22" s="149">
        <v>1</v>
      </c>
      <c r="G22" s="5"/>
      <c r="H22" s="5"/>
    </row>
    <row r="23" spans="1:8" ht="19.5" thickBot="1">
      <c r="A23" s="150" t="str">
        <f t="shared" ca="1" si="0"/>
        <v>=B17#*{5.4.3.2.1}</v>
      </c>
      <c r="B23" s="151" cm="1">
        <f t="array" ref="B23:F23">_xlfn.ANCHORARRAY(B17)*{5,4,3,2,1}</f>
        <v>50</v>
      </c>
      <c r="C23" s="151">
        <v>8</v>
      </c>
      <c r="D23" s="151">
        <v>9</v>
      </c>
      <c r="E23" s="151">
        <v>8</v>
      </c>
      <c r="F23" s="152">
        <v>5</v>
      </c>
      <c r="G23" s="5"/>
      <c r="H23" s="5"/>
    </row>
    <row r="24" spans="1:8" ht="19.5" thickBot="1">
      <c r="A24" s="139"/>
      <c r="B24" s="8"/>
      <c r="C24" s="8"/>
      <c r="D24" s="8"/>
      <c r="E24" s="8"/>
      <c r="F24" s="8"/>
      <c r="G24" s="5"/>
      <c r="H24" s="5"/>
    </row>
    <row r="25" spans="1:8" ht="18.75">
      <c r="A25" s="140"/>
      <c r="B25" s="141" t="str">
        <f ca="1">_xlfn.FORMULATEXT(B26)</f>
        <v>=SOMME(B17#*{5;4;3;2;1})</v>
      </c>
      <c r="C25" s="142"/>
      <c r="D25" s="142"/>
      <c r="E25" s="142"/>
      <c r="F25" s="143"/>
      <c r="G25" s="5"/>
      <c r="H25" s="5"/>
    </row>
    <row r="26" spans="1:8" ht="23.25">
      <c r="A26" s="144"/>
      <c r="B26" s="63" cm="1">
        <f t="array" ref="B26">SUM(_xlfn.ANCHORARRAY(B17)*{5;4;3;2;1})</f>
        <v>360</v>
      </c>
      <c r="C26" s="5"/>
      <c r="D26" s="5"/>
      <c r="E26" s="5"/>
      <c r="F26" s="146"/>
      <c r="G26" s="5"/>
      <c r="H26" s="5"/>
    </row>
    <row r="27" spans="1:8" ht="18.75">
      <c r="A27" s="148" t="str">
        <f ca="1">_xlfn.FORMULATEXT(B27)</f>
        <v>=B17#*{5;4;3;2;1}</v>
      </c>
      <c r="B27" s="5" cm="1">
        <f t="array" ref="B27:F31">_xlfn.ANCHORARRAY(B17)*{5;4;3;2;1}</f>
        <v>50</v>
      </c>
      <c r="C27" s="5">
        <v>10</v>
      </c>
      <c r="D27" s="5">
        <v>15</v>
      </c>
      <c r="E27" s="5">
        <v>20</v>
      </c>
      <c r="F27" s="146">
        <v>25</v>
      </c>
      <c r="G27" s="5"/>
      <c r="H27" s="5"/>
    </row>
    <row r="28" spans="1:8" ht="18.75">
      <c r="A28" s="144"/>
      <c r="B28" s="5">
        <v>40</v>
      </c>
      <c r="C28" s="5">
        <v>8</v>
      </c>
      <c r="D28" s="5">
        <v>12</v>
      </c>
      <c r="E28" s="5">
        <v>16</v>
      </c>
      <c r="F28" s="146">
        <v>20</v>
      </c>
      <c r="G28" s="5"/>
      <c r="H28" s="5"/>
    </row>
    <row r="29" spans="1:8" ht="18.75">
      <c r="A29" s="144"/>
      <c r="B29" s="5">
        <v>30</v>
      </c>
      <c r="C29" s="5">
        <v>6</v>
      </c>
      <c r="D29" s="5">
        <v>9</v>
      </c>
      <c r="E29" s="5">
        <v>12</v>
      </c>
      <c r="F29" s="146">
        <v>15</v>
      </c>
      <c r="G29" s="5"/>
      <c r="H29" s="5"/>
    </row>
    <row r="30" spans="1:8" ht="18.75">
      <c r="A30" s="144"/>
      <c r="B30" s="5">
        <v>20</v>
      </c>
      <c r="C30" s="5">
        <v>4</v>
      </c>
      <c r="D30" s="5">
        <v>6</v>
      </c>
      <c r="E30" s="5">
        <v>8</v>
      </c>
      <c r="F30" s="146">
        <v>10</v>
      </c>
      <c r="G30" s="5"/>
      <c r="H30" s="139"/>
    </row>
    <row r="31" spans="1:8" ht="19.5" thickBot="1">
      <c r="A31" s="153"/>
      <c r="B31" s="154">
        <v>10</v>
      </c>
      <c r="C31" s="154">
        <v>2</v>
      </c>
      <c r="D31" s="154">
        <v>3</v>
      </c>
      <c r="E31" s="154">
        <v>4</v>
      </c>
      <c r="F31" s="155">
        <v>5</v>
      </c>
      <c r="G31" s="5"/>
      <c r="H31" s="5"/>
    </row>
    <row r="32" spans="1:8" ht="19.5" thickBot="1">
      <c r="C32" s="5"/>
      <c r="D32" s="5"/>
      <c r="E32" s="5"/>
      <c r="F32" s="5"/>
      <c r="G32" s="5"/>
      <c r="H32" s="5"/>
    </row>
    <row r="33" spans="1:8" ht="18.75">
      <c r="A33" s="140"/>
      <c r="B33" s="141" t="str">
        <f ca="1">_xlfn.FORMULATEXT(B34)</f>
        <v>={1;2;3}*{1.2.3}</v>
      </c>
      <c r="C33" s="142"/>
      <c r="D33" s="142"/>
      <c r="E33" s="142"/>
      <c r="F33" s="156" t="str">
        <f ca="1">_xlfn.FORMULATEXT(F34)</f>
        <v>=SOMME(B34#)</v>
      </c>
      <c r="G33" s="5"/>
      <c r="H33" s="5"/>
    </row>
    <row r="34" spans="1:8" ht="23.25">
      <c r="A34" s="144"/>
      <c r="B34" s="63" cm="1">
        <f t="array" ref="B34:D36">{1;2;3}*{1,2,3}</f>
        <v>1</v>
      </c>
      <c r="C34" s="63">
        <v>2</v>
      </c>
      <c r="D34" s="63">
        <v>3</v>
      </c>
      <c r="E34" s="5"/>
      <c r="F34" s="146">
        <f>SUM(_xlfn.ANCHORARRAY(B34))</f>
        <v>36</v>
      </c>
      <c r="G34" s="5"/>
      <c r="H34" s="5"/>
    </row>
    <row r="35" spans="1:8" ht="23.25">
      <c r="A35" s="144"/>
      <c r="B35" s="63">
        <v>2</v>
      </c>
      <c r="C35" s="63">
        <v>4</v>
      </c>
      <c r="D35" s="63">
        <v>6</v>
      </c>
      <c r="E35" s="5"/>
      <c r="F35" s="146"/>
      <c r="G35" s="5"/>
      <c r="H35" s="5"/>
    </row>
    <row r="36" spans="1:8" ht="24" thickBot="1">
      <c r="A36" s="153"/>
      <c r="B36" s="157">
        <v>3</v>
      </c>
      <c r="C36" s="157">
        <v>6</v>
      </c>
      <c r="D36" s="157">
        <v>9</v>
      </c>
      <c r="E36" s="154"/>
      <c r="F36" s="155"/>
      <c r="G36" s="5"/>
      <c r="H36" s="5"/>
    </row>
    <row r="37" spans="1:8" ht="18.75">
      <c r="C37" s="5"/>
      <c r="D37" s="5"/>
      <c r="E37" s="5"/>
      <c r="F37" s="5"/>
      <c r="G37" s="5"/>
    </row>
    <row r="38" spans="1:8" ht="19.5" thickBot="1">
      <c r="B38" s="5"/>
      <c r="C38" s="5"/>
      <c r="D38" s="5"/>
      <c r="E38" s="5"/>
      <c r="F38" s="5"/>
      <c r="G38" s="5"/>
    </row>
    <row r="39" spans="1:8" ht="18.75">
      <c r="A39" s="140"/>
      <c r="B39" s="158" t="s">
        <v>828</v>
      </c>
      <c r="C39" s="159">
        <v>500</v>
      </c>
      <c r="D39" s="159">
        <v>300</v>
      </c>
      <c r="E39" s="159">
        <v>250</v>
      </c>
      <c r="F39" s="160">
        <v>400</v>
      </c>
      <c r="G39" s="5"/>
    </row>
    <row r="40" spans="1:8" ht="18.75">
      <c r="A40" s="144"/>
      <c r="B40" s="94" t="s">
        <v>829</v>
      </c>
      <c r="C40" s="161">
        <v>12.5</v>
      </c>
      <c r="D40" s="161">
        <v>5.8</v>
      </c>
      <c r="E40" s="161">
        <v>14</v>
      </c>
      <c r="F40" s="162">
        <v>21.3</v>
      </c>
      <c r="G40" s="5"/>
    </row>
    <row r="41" spans="1:8" ht="18.75">
      <c r="A41" s="144"/>
      <c r="B41" s="47"/>
      <c r="C41" s="24" t="str">
        <f ca="1">_xlfn.FORMULATEXT(C42)</f>
        <v>=C39:F39*C40:F40</v>
      </c>
      <c r="D41" s="5"/>
      <c r="E41" s="5"/>
      <c r="F41" s="146"/>
      <c r="G41" s="5"/>
      <c r="H41" s="5"/>
    </row>
    <row r="42" spans="1:8" ht="23.25">
      <c r="A42" s="144"/>
      <c r="B42" s="47" t="s">
        <v>830</v>
      </c>
      <c r="C42" s="63" cm="1">
        <f t="array" ref="C42:F42">C39:F39*C40:F40</f>
        <v>6250</v>
      </c>
      <c r="D42" s="63">
        <v>1740</v>
      </c>
      <c r="E42" s="63">
        <v>3500</v>
      </c>
      <c r="F42" s="145">
        <v>8520</v>
      </c>
    </row>
    <row r="43" spans="1:8" ht="18.75">
      <c r="A43" s="144"/>
      <c r="B43" s="47"/>
      <c r="D43" s="5"/>
      <c r="E43" s="5"/>
      <c r="F43" s="146"/>
      <c r="G43" s="5"/>
      <c r="H43" s="5"/>
    </row>
    <row r="44" spans="1:8" ht="23.25">
      <c r="A44" s="144"/>
      <c r="B44" s="47" t="s">
        <v>831</v>
      </c>
      <c r="C44" s="63" cm="1">
        <f t="array" ref="C44">SUM(C39:F39*C40:F40)</f>
        <v>20010</v>
      </c>
      <c r="D44" s="24" t="str">
        <f ca="1">_xlfn.FORMULATEXT(C44)</f>
        <v>=SOMME(C39:F39*C40:F40)</v>
      </c>
      <c r="E44" s="5"/>
      <c r="F44" s="146"/>
      <c r="H44" s="5"/>
    </row>
    <row r="45" spans="1:8" ht="24" thickBot="1">
      <c r="A45" s="153"/>
      <c r="B45" s="163"/>
      <c r="C45" s="157">
        <f>SUMPRODUCT(C39:F39,C40:F40)</f>
        <v>20010</v>
      </c>
      <c r="D45" s="164" t="str">
        <f ca="1">_xlfn.FORMULATEXT(C45)</f>
        <v>=SOMMEPROD(C39:F39;C40:F40)</v>
      </c>
      <c r="E45" s="154"/>
      <c r="F45" s="155"/>
      <c r="G45" s="5"/>
      <c r="H45" s="5"/>
    </row>
    <row r="46" spans="1:8" ht="19.5" thickBot="1">
      <c r="B46" s="5"/>
      <c r="C46" s="5"/>
      <c r="D46" s="5"/>
      <c r="E46" s="5"/>
      <c r="F46" s="5"/>
      <c r="G46" s="5"/>
      <c r="H46" s="5"/>
    </row>
    <row r="47" spans="1:8" ht="18.75">
      <c r="A47" s="140"/>
      <c r="B47" s="142" t="str" cm="1">
        <f t="array" ref="B47">TranslateMe(260)</f>
        <v>Array functions can also be part of defined names.</v>
      </c>
      <c r="C47" s="142"/>
      <c r="D47" s="142"/>
      <c r="E47" s="142"/>
      <c r="F47" s="143"/>
      <c r="G47" s="5"/>
      <c r="H47" s="5"/>
    </row>
    <row r="48" spans="1:8" ht="18.75">
      <c r="A48" s="144"/>
      <c r="B48" s="24" t="str">
        <f ca="1">_xlfn.FORMULATEXT(B49)</f>
        <v>=Quarter1</v>
      </c>
      <c r="C48" s="24" t="str">
        <f ca="1">_xlfn.FORMULATEXT(C49)</f>
        <v>=Q1_horiz</v>
      </c>
      <c r="D48" s="5"/>
      <c r="E48" s="5"/>
      <c r="F48" s="146"/>
      <c r="G48" s="5"/>
      <c r="H48" s="5"/>
    </row>
    <row r="49" spans="1:13" ht="23.25">
      <c r="A49" s="144"/>
      <c r="B49" s="63" t="str" cm="1">
        <f t="array" ref="B49:B51">Quarter1</f>
        <v>January</v>
      </c>
      <c r="C49" s="63" t="str" cm="1">
        <f t="array" ref="C49:E49">Q1_horiz</f>
        <v>Jan</v>
      </c>
      <c r="D49" s="63" t="str">
        <v>Feb</v>
      </c>
      <c r="E49" s="63" t="str">
        <v>Mar</v>
      </c>
      <c r="F49" s="146"/>
      <c r="G49" s="5"/>
      <c r="H49" s="5"/>
    </row>
    <row r="50" spans="1:13" ht="23.25">
      <c r="A50" s="144"/>
      <c r="B50" s="63" t="str">
        <v>February</v>
      </c>
      <c r="C50" s="5"/>
      <c r="D50" s="5"/>
      <c r="E50" s="5"/>
      <c r="F50" s="146"/>
      <c r="G50" s="5"/>
      <c r="H50" s="5"/>
    </row>
    <row r="51" spans="1:13" ht="24" thickBot="1">
      <c r="A51" s="153"/>
      <c r="B51" s="157" t="str">
        <v>March</v>
      </c>
      <c r="C51" s="154"/>
      <c r="D51" s="154"/>
      <c r="E51" s="154"/>
      <c r="F51" s="155"/>
      <c r="G51" s="5"/>
      <c r="H51" s="5"/>
    </row>
    <row r="52" spans="1:13" ht="15.75" thickBot="1"/>
    <row r="53" spans="1:13" s="15" customFormat="1" ht="33.75">
      <c r="A53" s="194"/>
      <c r="B53" s="195" t="str" cm="1">
        <f t="array" ref="B53">TranslateMe(263)</f>
        <v>Array manipulation</v>
      </c>
      <c r="C53" s="195"/>
      <c r="D53" s="195"/>
      <c r="E53" s="195"/>
      <c r="F53" s="195"/>
      <c r="G53" s="195"/>
      <c r="H53" s="195"/>
      <c r="I53" s="196"/>
      <c r="J53" s="196"/>
      <c r="K53" s="196"/>
      <c r="L53" s="196"/>
      <c r="M53" s="197"/>
    </row>
    <row r="54" spans="1:13" ht="18.75">
      <c r="A54" s="144"/>
      <c r="B54" s="52" t="s">
        <v>241</v>
      </c>
      <c r="C54" s="52" t="s">
        <v>832</v>
      </c>
      <c r="D54" s="52" t="s">
        <v>833</v>
      </c>
      <c r="F54" s="27" t="str" cm="1">
        <f t="array" ref="F54">TranslateMe(42)</f>
        <v>VAT</v>
      </c>
      <c r="G54" s="187">
        <v>8.1000000000000003E-2</v>
      </c>
      <c r="I54" s="24" t="str">
        <f ca="1">_xlfn.FORMULATEXT(I55)</f>
        <v>=UNIQUE(MOIS($B$55:$B$60))</v>
      </c>
      <c r="M54" s="166"/>
    </row>
    <row r="55" spans="1:13" ht="15.75">
      <c r="A55" s="144"/>
      <c r="B55" s="188">
        <v>45422</v>
      </c>
      <c r="C55" s="189" t="s">
        <v>834</v>
      </c>
      <c r="D55" s="190">
        <v>12.56</v>
      </c>
      <c r="I55" s="191" cm="1">
        <f t="array" ref="I55:I57">_xlfn.UNIQUE(MONTH($B$55:$B$60))</f>
        <v>5</v>
      </c>
      <c r="M55" s="166"/>
    </row>
    <row r="56" spans="1:13" ht="15.75">
      <c r="A56" s="144"/>
      <c r="B56" s="192">
        <v>45437</v>
      </c>
      <c r="C56" s="193" t="s">
        <v>835</v>
      </c>
      <c r="D56" s="8">
        <v>4.22</v>
      </c>
      <c r="F56" s="8" t="str" cm="1">
        <f t="array" ref="F56">TranslateMe(261)</f>
        <v>Data validation usign an array function</v>
      </c>
      <c r="I56" s="191">
        <v>6</v>
      </c>
      <c r="M56" s="166"/>
    </row>
    <row r="57" spans="1:13" ht="15.75">
      <c r="A57" s="144"/>
      <c r="B57" s="188">
        <v>45452</v>
      </c>
      <c r="C57" s="189" t="s">
        <v>836</v>
      </c>
      <c r="D57" s="190">
        <v>25.33</v>
      </c>
      <c r="F57" s="52" t="str" cm="1">
        <f t="array" ref="F57">TranslateMe(71)</f>
        <v>Month</v>
      </c>
      <c r="G57" s="52"/>
      <c r="I57" s="191">
        <v>7</v>
      </c>
      <c r="M57" s="166"/>
    </row>
    <row r="58" spans="1:13" ht="18.75">
      <c r="A58" s="144"/>
      <c r="B58" s="192">
        <v>45467</v>
      </c>
      <c r="C58" s="193" t="s">
        <v>834</v>
      </c>
      <c r="D58" s="8">
        <v>12.5</v>
      </c>
      <c r="F58" s="8">
        <v>6</v>
      </c>
      <c r="G58">
        <v>2025</v>
      </c>
      <c r="I58" s="24" t="str">
        <f ca="1">_xlfn.FORMULATEXT(I59)</f>
        <v>=UNIQUE(ANNEE($B$55:$B$60))</v>
      </c>
      <c r="M58" s="166"/>
    </row>
    <row r="59" spans="1:13" ht="18.75">
      <c r="A59" s="144"/>
      <c r="B59" s="188">
        <v>45847</v>
      </c>
      <c r="C59" s="189" t="s">
        <v>835</v>
      </c>
      <c r="D59" s="190">
        <v>21.66</v>
      </c>
      <c r="F59" s="24"/>
      <c r="G59">
        <v>2024</v>
      </c>
      <c r="I59" s="191" cm="1">
        <f t="array" ref="I59:I61">_xlfn.UNIQUE(YEAR($B$55:$B$60))</f>
        <v>2024</v>
      </c>
      <c r="M59" s="166"/>
    </row>
    <row r="60" spans="1:13" ht="15.75">
      <c r="A60" s="144"/>
      <c r="B60" s="192">
        <v>46227</v>
      </c>
      <c r="C60" s="193" t="s">
        <v>834</v>
      </c>
      <c r="D60" s="8">
        <v>15.4</v>
      </c>
      <c r="G60">
        <v>2025</v>
      </c>
      <c r="I60" s="191">
        <v>2025</v>
      </c>
      <c r="M60" s="166"/>
    </row>
    <row r="61" spans="1:13">
      <c r="A61" s="144"/>
      <c r="I61" s="191">
        <v>2026</v>
      </c>
      <c r="M61" s="166"/>
    </row>
    <row r="62" spans="1:13">
      <c r="A62" s="144"/>
      <c r="M62" s="166"/>
    </row>
    <row r="63" spans="1:13" ht="18.75">
      <c r="A63" s="144"/>
      <c r="B63" s="186" t="str" cm="1">
        <f t="array" ref="B63">TranslateMe(262)</f>
        <v>Array multiplication: multiply an array by a number</v>
      </c>
      <c r="C63" s="186"/>
      <c r="G63" s="186" t="str" cm="1">
        <f t="array" ref="G63">TranslateMe(263)</f>
        <v>Array manipulation</v>
      </c>
      <c r="H63" s="186"/>
      <c r="I63" s="186"/>
      <c r="J63" s="186" t="str" cm="1">
        <f t="array" ref="J63">TranslateMe(264)</f>
        <v>Array manipulation in an IF function</v>
      </c>
      <c r="M63" s="166"/>
    </row>
    <row r="64" spans="1:13" ht="18.75">
      <c r="A64" s="144"/>
      <c r="B64" s="52" t="s">
        <v>502</v>
      </c>
      <c r="D64" s="52" t="s">
        <v>504</v>
      </c>
      <c r="E64" s="165"/>
      <c r="G64" s="24" t="str">
        <f ca="1">_xlfn.FORMULATEXT(G65)</f>
        <v>=TEXTE(B55:B60;"jj.mmm.aa")&amp;" : CHF "&amp;D55:D60</v>
      </c>
      <c r="H64" s="24"/>
      <c r="J64" s="24" t="str">
        <f ca="1">_xlfn.FORMULATEXT(J65)</f>
        <v>=SI(D55:D60&gt;$K$65;"&gt;"&amp;$K$65;"")</v>
      </c>
      <c r="K64" s="24"/>
      <c r="L64" s="24"/>
      <c r="M64" s="166"/>
    </row>
    <row r="65" spans="1:18" ht="23.25">
      <c r="A65" s="144"/>
      <c r="B65" s="63" cm="1">
        <f t="array" ref="B65:B70">D55:D60*(100%+$G$54)</f>
        <v>13.577360000000001</v>
      </c>
      <c r="D65" s="63" cm="1">
        <f t="array" ref="D65">SUM(ROUND(D55:D60*(1+$G$54),2))</f>
        <v>99.09</v>
      </c>
      <c r="G65" s="63" t="str" cm="1">
        <f t="array" ref="G65:G70">TEXT(B55:B60,"jj.mmm.aa")&amp;" : CHF "&amp;D55:D60</f>
        <v>10.mai.24 : CHF 12,56</v>
      </c>
      <c r="J65" s="63" t="str" cm="1">
        <f t="array" ref="J65:J70">IF(D55:D60&gt;$K$65,"&gt;"&amp;$K$65,"")</f>
        <v/>
      </c>
      <c r="K65" s="68">
        <v>15</v>
      </c>
      <c r="M65" s="166"/>
    </row>
    <row r="66" spans="1:18" ht="23.25">
      <c r="A66" s="144"/>
      <c r="B66" s="63">
        <v>4.56182</v>
      </c>
      <c r="D66" s="24" t="str">
        <f ca="1">_xlfn.FORMULATEXT(D65)</f>
        <v>=SOMME(ARRONDI(D55:D60*(1+$G$54);2))</v>
      </c>
      <c r="G66" s="63" t="str">
        <v>25.mai.24 : CHF 4,22</v>
      </c>
      <c r="J66" s="63" t="str">
        <v/>
      </c>
      <c r="M66" s="166"/>
    </row>
    <row r="67" spans="1:18" ht="23.25">
      <c r="A67" s="144"/>
      <c r="B67" s="63">
        <v>27.381729999999997</v>
      </c>
      <c r="G67" s="63" t="str">
        <v>09.juin.24 : CHF 25,33</v>
      </c>
      <c r="J67" s="63" t="str">
        <v>&gt;15</v>
      </c>
      <c r="M67" s="166"/>
    </row>
    <row r="68" spans="1:18" ht="23.25">
      <c r="A68" s="144"/>
      <c r="B68" s="63">
        <v>13.512499999999999</v>
      </c>
      <c r="D68" s="52" t="s">
        <v>506</v>
      </c>
      <c r="E68" s="52"/>
      <c r="G68" s="63" t="str">
        <v>24.juin.24 : CHF 12,5</v>
      </c>
      <c r="J68" s="63" t="str">
        <v/>
      </c>
      <c r="M68" s="166"/>
    </row>
    <row r="69" spans="1:18" ht="23.25">
      <c r="A69" s="144"/>
      <c r="B69" s="63">
        <v>23.414459999999998</v>
      </c>
      <c r="D69" s="63" cm="1">
        <f t="array" ref="D69">SUM(ROUND(_xlfn.ANCHORARRAY($B$65),1))</f>
        <v>99.1</v>
      </c>
      <c r="G69" s="63" t="str">
        <v>09.juil.25 : CHF 21,66</v>
      </c>
      <c r="J69" s="63" t="str">
        <v>&gt;15</v>
      </c>
      <c r="M69" s="166"/>
    </row>
    <row r="70" spans="1:18" ht="24" thickBot="1">
      <c r="A70" s="153"/>
      <c r="B70" s="157">
        <v>16.647400000000001</v>
      </c>
      <c r="C70" s="167"/>
      <c r="D70" s="164" t="str">
        <f ca="1">_xlfn.FORMULATEXT(D69)</f>
        <v>=SOMME(ARRONDI($B$65#;1))</v>
      </c>
      <c r="E70" s="167"/>
      <c r="F70" s="167"/>
      <c r="G70" s="157" t="str">
        <v>24.juil.26 : CHF 15,4</v>
      </c>
      <c r="H70" s="167"/>
      <c r="I70" s="167"/>
      <c r="J70" s="157" t="str">
        <v>&gt;15</v>
      </c>
      <c r="K70" s="167"/>
      <c r="L70" s="167"/>
      <c r="M70" s="168"/>
    </row>
    <row r="72" spans="1:18" s="15" customFormat="1" ht="34.5" thickBot="1">
      <c r="A72" s="59"/>
      <c r="B72" s="59" t="str" cm="1">
        <f t="array" ref="B72">TranslateMe(265)</f>
        <v>365 functions</v>
      </c>
      <c r="C72" s="59"/>
      <c r="D72" s="59"/>
      <c r="E72" s="59"/>
      <c r="F72" s="59"/>
      <c r="G72" s="59"/>
      <c r="H72" s="59"/>
    </row>
    <row r="73" spans="1:18" ht="18.75" outlineLevel="1">
      <c r="A73" s="24" t="str">
        <f ca="1">_xlfn.FORMULATEXT(C75)</f>
        <v>=DATE(B75#;C74#;C74#)</v>
      </c>
      <c r="C73" s="169" t="str">
        <f ca="1">_xlfn.FORMULATEXT(C74)</f>
        <v>=SEQUENCE(1;6)</v>
      </c>
      <c r="D73" s="170"/>
      <c r="E73" s="170"/>
      <c r="F73" s="170"/>
      <c r="G73" s="170"/>
      <c r="H73" s="171"/>
    </row>
    <row r="74" spans="1:18" ht="19.5" outlineLevel="1" thickBot="1">
      <c r="B74" s="10"/>
      <c r="C74" s="172" cm="1">
        <f t="array" ref="C74:H74">_xlfn.SEQUENCE(1,6)</f>
        <v>1</v>
      </c>
      <c r="D74" s="173">
        <v>2</v>
      </c>
      <c r="E74" s="173">
        <v>3</v>
      </c>
      <c r="F74" s="173">
        <v>4</v>
      </c>
      <c r="G74" s="173">
        <v>5</v>
      </c>
      <c r="H74" s="174">
        <v>6</v>
      </c>
      <c r="N74" s="20"/>
      <c r="O74" s="20"/>
      <c r="P74" s="20"/>
      <c r="Q74" s="20"/>
      <c r="R74" s="20"/>
    </row>
    <row r="75" spans="1:18" ht="23.25" outlineLevel="1">
      <c r="B75" s="175" cm="1">
        <f t="array" ref="B75:B79">_xlfn.SEQUENCE(5,1,2018,1)</f>
        <v>2018</v>
      </c>
      <c r="C75" s="178" cm="1">
        <f t="array" ref="C75:H79">DATE(_xlfn.ANCHORARRAY(B75),_xlfn.ANCHORARRAY(C74),_xlfn.ANCHORARRAY(C74))</f>
        <v>43101</v>
      </c>
      <c r="D75" s="179">
        <v>43133</v>
      </c>
      <c r="E75" s="179">
        <v>43162</v>
      </c>
      <c r="F75" s="179">
        <v>43194</v>
      </c>
      <c r="G75" s="179">
        <v>43225</v>
      </c>
      <c r="H75" s="180">
        <v>43257</v>
      </c>
      <c r="M75" s="20"/>
      <c r="N75" s="20"/>
      <c r="O75" s="20"/>
      <c r="P75" s="20"/>
      <c r="Q75" s="20"/>
      <c r="R75" s="20"/>
    </row>
    <row r="76" spans="1:18" ht="23.25" outlineLevel="1">
      <c r="B76" s="176">
        <v>2019</v>
      </c>
      <c r="C76" s="181">
        <v>43466</v>
      </c>
      <c r="D76" s="95">
        <v>43498</v>
      </c>
      <c r="E76" s="95">
        <v>43527</v>
      </c>
      <c r="F76" s="95">
        <v>43559</v>
      </c>
      <c r="G76" s="95">
        <v>43590</v>
      </c>
      <c r="H76" s="182">
        <v>43622</v>
      </c>
      <c r="M76" s="20"/>
      <c r="N76" s="20"/>
      <c r="O76" s="20"/>
      <c r="P76" s="20"/>
      <c r="Q76" s="20"/>
      <c r="R76" s="20"/>
    </row>
    <row r="77" spans="1:18" ht="23.25" outlineLevel="1">
      <c r="B77" s="176">
        <v>2020</v>
      </c>
      <c r="C77" s="181">
        <v>43831</v>
      </c>
      <c r="D77" s="95">
        <v>43863</v>
      </c>
      <c r="E77" s="95">
        <v>43893</v>
      </c>
      <c r="F77" s="95">
        <v>43925</v>
      </c>
      <c r="G77" s="95">
        <v>43956</v>
      </c>
      <c r="H77" s="182">
        <v>43988</v>
      </c>
      <c r="M77" s="20"/>
      <c r="N77" s="20"/>
      <c r="O77" s="20"/>
      <c r="P77" s="20"/>
      <c r="Q77" s="20"/>
      <c r="R77" s="20"/>
    </row>
    <row r="78" spans="1:18" ht="23.25" outlineLevel="1">
      <c r="B78" s="176">
        <v>2021</v>
      </c>
      <c r="C78" s="181">
        <v>44197</v>
      </c>
      <c r="D78" s="95">
        <v>44229</v>
      </c>
      <c r="E78" s="95">
        <v>44258</v>
      </c>
      <c r="F78" s="95">
        <v>44290</v>
      </c>
      <c r="G78" s="95">
        <v>44321</v>
      </c>
      <c r="H78" s="182">
        <v>44353</v>
      </c>
      <c r="L78" s="7"/>
      <c r="M78" s="20"/>
      <c r="N78" s="20"/>
      <c r="O78" s="20"/>
      <c r="P78" s="20"/>
      <c r="Q78" s="20"/>
      <c r="R78" s="20"/>
    </row>
    <row r="79" spans="1:18" ht="24" outlineLevel="1" thickBot="1">
      <c r="B79" s="176">
        <v>2022</v>
      </c>
      <c r="C79" s="183">
        <v>44562</v>
      </c>
      <c r="D79" s="184">
        <v>44594</v>
      </c>
      <c r="E79" s="184">
        <v>44623</v>
      </c>
      <c r="F79" s="184">
        <v>44655</v>
      </c>
      <c r="G79" s="184">
        <v>44686</v>
      </c>
      <c r="H79" s="185">
        <v>44718</v>
      </c>
    </row>
    <row r="80" spans="1:18" ht="19.5" outlineLevel="1" thickBot="1">
      <c r="B80" s="177" t="str">
        <f ca="1">_xlfn.FORMULATEXT(B75)</f>
        <v>=SEQUENCE(5;1;2018;1)</v>
      </c>
      <c r="C80" s="24"/>
      <c r="D80" s="24"/>
      <c r="E80" s="24"/>
      <c r="F80" s="24"/>
      <c r="G80" s="24"/>
      <c r="H80" s="24"/>
    </row>
    <row r="83" spans="2:13" ht="18.75">
      <c r="B83" s="24" t="str">
        <f ca="1">_xlfn.FORMULATEXT(B84)</f>
        <v>=UNIQUE($C$55:$C$60)</v>
      </c>
      <c r="D83" s="24" t="str">
        <f ca="1">_xlfn.FORMULATEXT(D84)</f>
        <v>=TRIER(B55:D60;2;1)</v>
      </c>
      <c r="E83" s="24"/>
      <c r="F83" s="24"/>
      <c r="H83" s="24" t="str">
        <f ca="1">_xlfn.FORMULATEXT(H84)</f>
        <v>=TRIERPAR(B55:D60;C55:C60;1;D55:D60;-1)</v>
      </c>
      <c r="I83" s="24"/>
      <c r="J83" s="24"/>
      <c r="K83" s="24"/>
    </row>
    <row r="84" spans="2:13" ht="23.25">
      <c r="B84" s="63" t="str" cm="1">
        <f t="array" ref="B84:B86">_xlfn.UNIQUE($C$55:$C$60)</f>
        <v>Prod1</v>
      </c>
      <c r="D84" s="95" cm="1">
        <f t="array" ref="D84:F89">_xlfn._xlws.SORT(B55:D60,2,1)</f>
        <v>45422</v>
      </c>
      <c r="E84" s="63" t="str">
        <v>Prod1</v>
      </c>
      <c r="F84" s="63">
        <v>12.56</v>
      </c>
      <c r="H84" s="95" cm="1">
        <f t="array" ref="H84:J89">_xlfn.SORTBY(B55:D60,C55:C60,1,D55:D60,-1)</f>
        <v>46227</v>
      </c>
      <c r="I84" s="63" t="str">
        <v>Prod1</v>
      </c>
      <c r="J84" s="63">
        <v>15.4</v>
      </c>
    </row>
    <row r="85" spans="2:13" ht="23.25">
      <c r="B85" s="63" t="str">
        <v>Prod2</v>
      </c>
      <c r="D85" s="95">
        <v>45467</v>
      </c>
      <c r="E85" s="63" t="str">
        <v>Prod1</v>
      </c>
      <c r="F85" s="63">
        <v>12.5</v>
      </c>
      <c r="H85" s="95">
        <v>45422</v>
      </c>
      <c r="I85" s="63" t="str">
        <v>Prod1</v>
      </c>
      <c r="J85" s="63">
        <v>12.56</v>
      </c>
    </row>
    <row r="86" spans="2:13" ht="23.25">
      <c r="B86" s="63" t="str">
        <v>Prod3</v>
      </c>
      <c r="D86" s="95">
        <v>46227</v>
      </c>
      <c r="E86" s="63" t="str">
        <v>Prod1</v>
      </c>
      <c r="F86" s="63">
        <v>15.4</v>
      </c>
      <c r="H86" s="95">
        <v>45467</v>
      </c>
      <c r="I86" s="63" t="str">
        <v>Prod1</v>
      </c>
      <c r="J86" s="63">
        <v>12.5</v>
      </c>
    </row>
    <row r="87" spans="2:13" ht="23.25">
      <c r="B87" s="63"/>
      <c r="D87" s="95">
        <v>45437</v>
      </c>
      <c r="E87" s="63" t="str">
        <v>Prod2</v>
      </c>
      <c r="F87" s="63">
        <v>4.22</v>
      </c>
      <c r="H87" s="95">
        <v>45847</v>
      </c>
      <c r="I87" s="63" t="str">
        <v>Prod2</v>
      </c>
      <c r="J87" s="63">
        <v>21.66</v>
      </c>
    </row>
    <row r="88" spans="2:13" ht="23.25">
      <c r="D88" s="95">
        <v>45847</v>
      </c>
      <c r="E88" s="63" t="str">
        <v>Prod2</v>
      </c>
      <c r="F88" s="63">
        <v>21.66</v>
      </c>
      <c r="H88" s="95">
        <v>45437</v>
      </c>
      <c r="I88" s="63" t="str">
        <v>Prod2</v>
      </c>
      <c r="J88" s="63">
        <v>4.22</v>
      </c>
    </row>
    <row r="89" spans="2:13" ht="23.25">
      <c r="D89" s="95">
        <v>45452</v>
      </c>
      <c r="E89" s="63" t="str">
        <v>Prod3</v>
      </c>
      <c r="F89" s="63">
        <v>25.33</v>
      </c>
      <c r="H89" s="95">
        <v>45452</v>
      </c>
      <c r="I89" s="63" t="str">
        <v>Prod3</v>
      </c>
      <c r="J89" s="63">
        <v>25.33</v>
      </c>
      <c r="M89" s="54"/>
    </row>
    <row r="92" spans="2:13" ht="18.75">
      <c r="B92" s="24" t="str">
        <f ca="1">_xlfn.FORMULATEXT(B93)</f>
        <v>=SEQUENCE(2)</v>
      </c>
      <c r="D92" s="24" t="str">
        <f ca="1">_xlfn.FORMULATEXT(D93)</f>
        <v>=GRANDE.VALEUR(D55:D60;SEQUENCE(3))</v>
      </c>
      <c r="E92" s="24"/>
      <c r="F92" s="24" t="str">
        <f ca="1">_xlfn.FORMULATEXT(F93)</f>
        <v>=GRANDE.VALEUR(D55:D60;3)</v>
      </c>
    </row>
    <row r="93" spans="2:13" ht="23.25">
      <c r="B93" s="63" cm="1">
        <f t="array" ref="B93:B94">_xlfn.SEQUENCE(2)</f>
        <v>1</v>
      </c>
      <c r="D93" s="63" cm="1">
        <f t="array" ref="D93:D95">LARGE(D55:D60,_xlfn.SEQUENCE(3))</f>
        <v>25.33</v>
      </c>
      <c r="F93" s="63">
        <f>LARGE(D55:D60,3)</f>
        <v>15.4</v>
      </c>
      <c r="H93" s="20"/>
      <c r="I93" s="20"/>
    </row>
    <row r="94" spans="2:13" ht="23.25">
      <c r="B94" s="63">
        <v>2</v>
      </c>
      <c r="D94" s="63">
        <v>21.66</v>
      </c>
      <c r="H94" s="20"/>
      <c r="I94" s="20"/>
    </row>
    <row r="95" spans="2:13" ht="23.25">
      <c r="D95" s="63">
        <v>15.4</v>
      </c>
    </row>
    <row r="97" spans="1:13" ht="24" thickBot="1">
      <c r="B97" s="198" t="str" cm="1">
        <f t="array" ref="B97">TranslateMe(267)</f>
        <v>Estimated return of a capital with fixed interest</v>
      </c>
      <c r="C97" s="52"/>
      <c r="D97" s="52"/>
      <c r="E97" s="52"/>
      <c r="F97" s="52"/>
      <c r="G97" s="52"/>
      <c r="I97" s="221" t="s">
        <v>837</v>
      </c>
    </row>
    <row r="98" spans="1:13" ht="19.5" thickBot="1">
      <c r="B98" s="52" t="str" cm="1">
        <f t="array" ref="B98">TranslateMe(269)</f>
        <v>Periods/Interest rate</v>
      </c>
      <c r="C98" s="200" cm="1">
        <f t="array" ref="C98:G98">_xlfn.SEQUENCE(1,5,0.02,0.005)</f>
        <v>0.02</v>
      </c>
      <c r="D98" s="200">
        <v>2.5000000000000001E-2</v>
      </c>
      <c r="E98" s="200">
        <v>3.0000000000000002E-2</v>
      </c>
      <c r="F98" s="200">
        <v>3.5000000000000003E-2</v>
      </c>
      <c r="G98" s="200">
        <v>0.04</v>
      </c>
      <c r="I98" s="219" t="s">
        <v>838</v>
      </c>
      <c r="J98" s="220" t="s">
        <v>839</v>
      </c>
      <c r="K98" s="222" t="s">
        <v>840</v>
      </c>
    </row>
    <row r="99" spans="1:13" ht="24" thickBot="1">
      <c r="A99" s="3" t="str" cm="1">
        <f t="array" ref="A99">TranslateMe(268)</f>
        <v>Yearly payment</v>
      </c>
      <c r="B99" s="60" cm="1">
        <f t="array" ref="B99:B104">_xlfn.SEQUENCE(6,1,10,3)</f>
        <v>10</v>
      </c>
      <c r="C99" s="124" cm="1">
        <f t="array" ref="C99:G104">ROUND(FV(_xlfn.ANCHORARRAY(C98),_xlfn.ANCHORARRAY(B99),-A100,-A102),0)</f>
        <v>170447</v>
      </c>
      <c r="D99" s="124">
        <v>176038</v>
      </c>
      <c r="E99" s="124">
        <v>181835</v>
      </c>
      <c r="F99" s="124">
        <v>187844</v>
      </c>
      <c r="G99" s="124">
        <v>194073</v>
      </c>
      <c r="I99" s="219" t="s">
        <v>841</v>
      </c>
      <c r="J99" s="220" t="s">
        <v>839</v>
      </c>
      <c r="K99" s="222" t="s">
        <v>842</v>
      </c>
    </row>
    <row r="100" spans="1:13" ht="24" thickBot="1">
      <c r="A100" s="199">
        <v>10000</v>
      </c>
      <c r="B100" s="60">
        <v>13</v>
      </c>
      <c r="C100" s="124">
        <v>211484</v>
      </c>
      <c r="D100" s="124">
        <v>220330</v>
      </c>
      <c r="E100" s="124">
        <v>229605</v>
      </c>
      <c r="F100" s="124">
        <v>239328</v>
      </c>
      <c r="G100" s="124">
        <v>249522</v>
      </c>
      <c r="I100" s="219" t="s">
        <v>843</v>
      </c>
      <c r="J100" s="220" t="s">
        <v>839</v>
      </c>
      <c r="K100" s="222" t="s">
        <v>844</v>
      </c>
      <c r="M100" s="54"/>
    </row>
    <row r="101" spans="1:13" ht="24" thickBot="1">
      <c r="A101" s="3" t="str" cm="1">
        <f t="array" ref="A101">TranslateMe(266)</f>
        <v>Initial capital</v>
      </c>
      <c r="B101" s="60">
        <v>16</v>
      </c>
      <c r="C101" s="124">
        <v>255032</v>
      </c>
      <c r="D101" s="124">
        <v>268028</v>
      </c>
      <c r="E101" s="124">
        <v>281804</v>
      </c>
      <c r="F101" s="124">
        <v>296410</v>
      </c>
      <c r="G101" s="124">
        <v>311894</v>
      </c>
      <c r="I101" s="219" t="s">
        <v>845</v>
      </c>
      <c r="J101" s="220" t="s">
        <v>846</v>
      </c>
      <c r="K101" s="222" t="s">
        <v>847</v>
      </c>
    </row>
    <row r="102" spans="1:13" ht="24" thickBot="1">
      <c r="A102" s="199">
        <v>50000</v>
      </c>
      <c r="B102" s="60">
        <v>19</v>
      </c>
      <c r="C102" s="124">
        <v>301246</v>
      </c>
      <c r="D102" s="124">
        <v>319393</v>
      </c>
      <c r="E102" s="124">
        <v>338844</v>
      </c>
      <c r="F102" s="124">
        <v>359697</v>
      </c>
      <c r="G102" s="124">
        <v>382055</v>
      </c>
      <c r="I102" s="219" t="s">
        <v>848</v>
      </c>
      <c r="J102" s="220" t="s">
        <v>846</v>
      </c>
      <c r="K102" s="222" t="s">
        <v>849</v>
      </c>
    </row>
    <row r="103" spans="1:13" ht="23.25">
      <c r="B103" s="60">
        <v>22</v>
      </c>
      <c r="C103" s="124">
        <v>350289</v>
      </c>
      <c r="D103" s="124">
        <v>374707</v>
      </c>
      <c r="E103" s="124">
        <v>401173</v>
      </c>
      <c r="F103" s="124">
        <v>429865</v>
      </c>
      <c r="G103" s="124">
        <v>460976</v>
      </c>
      <c r="I103" s="138" t="s">
        <v>850</v>
      </c>
    </row>
    <row r="104" spans="1:13" ht="23.25">
      <c r="B104" s="60">
        <v>25</v>
      </c>
      <c r="C104" s="124">
        <v>402333</v>
      </c>
      <c r="D104" s="124">
        <v>434275</v>
      </c>
      <c r="E104" s="124">
        <v>469282</v>
      </c>
      <c r="F104" s="124">
        <v>507661</v>
      </c>
      <c r="G104" s="124">
        <v>549751</v>
      </c>
    </row>
    <row r="107" spans="1:13" ht="23.25">
      <c r="B107" s="198" t="s">
        <v>538</v>
      </c>
      <c r="C107" s="52"/>
      <c r="D107" s="52"/>
      <c r="E107" s="52"/>
      <c r="F107" s="52"/>
      <c r="G107" s="52"/>
      <c r="H107" s="52"/>
      <c r="I107" s="52"/>
      <c r="J107" s="52"/>
      <c r="K107" s="52"/>
      <c r="L107" s="52"/>
      <c r="M107" s="52"/>
    </row>
    <row r="108" spans="1:13" ht="18.75">
      <c r="B108" s="204" t="s">
        <v>851</v>
      </c>
      <c r="C108" s="207">
        <v>1000000</v>
      </c>
      <c r="D108" s="205">
        <v>0.6</v>
      </c>
      <c r="E108" s="206">
        <v>0.4</v>
      </c>
      <c r="F108" s="208" t="s">
        <v>852</v>
      </c>
      <c r="G108" s="208"/>
      <c r="H108" s="210" t="s">
        <v>853</v>
      </c>
      <c r="I108" s="210"/>
      <c r="J108" s="212" t="s">
        <v>854</v>
      </c>
      <c r="K108" s="212"/>
      <c r="L108" s="213"/>
      <c r="M108" s="213"/>
    </row>
    <row r="109" spans="1:13" ht="15.75">
      <c r="C109" s="57" t="s">
        <v>853</v>
      </c>
      <c r="D109" s="202" t="s">
        <v>855</v>
      </c>
      <c r="E109" s="97" t="s">
        <v>856</v>
      </c>
      <c r="F109" t="s">
        <v>857</v>
      </c>
      <c r="G109" t="s">
        <v>858</v>
      </c>
      <c r="H109" t="s">
        <v>857</v>
      </c>
      <c r="I109" t="s">
        <v>858</v>
      </c>
      <c r="J109" t="s">
        <v>857</v>
      </c>
      <c r="K109" t="s">
        <v>858</v>
      </c>
      <c r="L109" t="s">
        <v>859</v>
      </c>
      <c r="M109" t="s">
        <v>860</v>
      </c>
    </row>
    <row r="110" spans="1:13">
      <c r="B110" s="28" t="s">
        <v>861</v>
      </c>
      <c r="C110" s="203">
        <v>0.03</v>
      </c>
      <c r="D110" s="201">
        <v>0.12</v>
      </c>
      <c r="E110" s="201">
        <v>0.1</v>
      </c>
      <c r="F110" s="209" cm="1">
        <f t="array" ref="F110:G112">$C$108*$D$108:$E$108*$D$110:$E$112</f>
        <v>72000</v>
      </c>
      <c r="G110" s="209">
        <v>40000</v>
      </c>
      <c r="H110" s="211" cm="1">
        <f t="array" ref="H110:I112">$C$108*$D$108:$E$108*$C$110:$C$112</f>
        <v>18000</v>
      </c>
      <c r="I110" s="211">
        <v>12000</v>
      </c>
      <c r="J110" s="214" cm="1">
        <f t="array" ref="J110:K112">$C$108*$D$108:$E$108*($D$110:$E$112+$C$110:$C$112)</f>
        <v>90000</v>
      </c>
      <c r="K110" s="214">
        <v>52000</v>
      </c>
      <c r="L110" s="215" cm="1">
        <f t="array" ref="L110:L112">J110:J112+K110:K112</f>
        <v>142000</v>
      </c>
      <c r="M110" s="216" cm="1">
        <f t="array" ref="M110:M112">L110:L112/$C$108</f>
        <v>0.14199999999999999</v>
      </c>
    </row>
    <row r="111" spans="1:13">
      <c r="B111" t="s">
        <v>550</v>
      </c>
      <c r="C111" s="19">
        <v>1.4999999999999999E-2</v>
      </c>
      <c r="D111" s="19">
        <v>0.05</v>
      </c>
      <c r="E111" s="18">
        <v>0.04</v>
      </c>
      <c r="F111" s="209">
        <v>30000</v>
      </c>
      <c r="G111" s="209">
        <v>16000</v>
      </c>
      <c r="H111" s="211">
        <v>9000</v>
      </c>
      <c r="I111" s="211">
        <v>6000</v>
      </c>
      <c r="J111" s="214">
        <v>39000</v>
      </c>
      <c r="K111" s="214">
        <v>22000</v>
      </c>
      <c r="L111" s="215">
        <v>61000</v>
      </c>
      <c r="M111" s="216">
        <v>6.0999999999999999E-2</v>
      </c>
    </row>
    <row r="112" spans="1:13">
      <c r="B112" s="28" t="s">
        <v>548</v>
      </c>
      <c r="C112" s="203">
        <v>0</v>
      </c>
      <c r="D112" s="201">
        <v>-0.02</v>
      </c>
      <c r="E112" s="201">
        <v>1.4999999999999999E-2</v>
      </c>
      <c r="F112" s="209">
        <v>-12000</v>
      </c>
      <c r="G112" s="209">
        <v>6000</v>
      </c>
      <c r="H112" s="211">
        <v>0</v>
      </c>
      <c r="I112" s="211">
        <v>0</v>
      </c>
      <c r="J112" s="214">
        <v>-12000</v>
      </c>
      <c r="K112" s="214">
        <v>6000</v>
      </c>
      <c r="L112" s="215">
        <v>-6000</v>
      </c>
      <c r="M112" s="216">
        <v>-6.0000000000000001E-3</v>
      </c>
    </row>
    <row r="113" spans="5:12">
      <c r="L113" s="30"/>
    </row>
    <row r="114" spans="5:12" ht="18.75">
      <c r="E114" s="24" t="str">
        <f ca="1">_xlfn.FORMULATEXT(F110)</f>
        <v>=$C$108*$D$108:$E$108*$D$110:$E$112</v>
      </c>
    </row>
    <row r="115" spans="5:12" ht="18.75">
      <c r="G115" s="24" t="str">
        <f ca="1">_xlfn.FORMULATEXT(H110)</f>
        <v>=$C$108*$D$108:$E$108*$C$110:$C$112</v>
      </c>
    </row>
    <row r="116" spans="5:12" ht="18.75">
      <c r="I116" s="24" t="str">
        <f ca="1">_xlfn.FORMULATEXT(J110)</f>
        <v>=$C$108*$D$108:$E$108*($D$110:$E$112+$C$110:$C$112)</v>
      </c>
    </row>
  </sheetData>
  <mergeCells count="1">
    <mergeCell ref="G1:N1"/>
  </mergeCells>
  <dataValidations count="2">
    <dataValidation type="list" allowBlank="1" showInputMessage="1" showErrorMessage="1" sqref="F58" xr:uid="{27A4A91B-D988-445D-A93C-C071A42BC8C5}">
      <formula1>_xlfn.ANCHORARRAY($I$55)</formula1>
    </dataValidation>
    <dataValidation type="list" allowBlank="1" showInputMessage="1" showErrorMessage="1" sqref="G58:G60" xr:uid="{3147EE10-3D7F-41D6-A891-616336C3A1CB}">
      <formula1>_xlfn.ANCHORARRAY($I$59)</formula1>
    </dataValidation>
  </dataValidations>
  <hyperlinks>
    <hyperlink ref="A1" location="MENU!A1" display="MENU!A1" xr:uid="{78F7ED80-2C9B-46D4-B714-2A25ED7218C3}"/>
    <hyperlink ref="I97" r:id="rId1" xr:uid="{47D1504F-0326-4E76-BCC2-DDAABA5C751E}"/>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036A7-1220-4FCC-9B4E-9867BC5A546D}">
  <sheetPr codeName="Sheet12"/>
  <dimension ref="A1:Q32"/>
  <sheetViews>
    <sheetView workbookViewId="0"/>
  </sheetViews>
  <sheetFormatPr defaultColWidth="9.140625" defaultRowHeight="15"/>
  <cols>
    <col min="2" max="2" width="17.28515625" customWidth="1"/>
    <col min="3" max="3" width="21.140625" customWidth="1"/>
    <col min="4" max="4" width="12.5703125" bestFit="1" customWidth="1"/>
    <col min="5" max="5" width="17.28515625" customWidth="1"/>
    <col min="6" max="6" width="16.42578125" bestFit="1" customWidth="1"/>
    <col min="7" max="7" width="17.42578125" bestFit="1" customWidth="1"/>
    <col min="9" max="10" width="24.5703125" customWidth="1"/>
    <col min="11" max="11" width="18.7109375" bestFit="1" customWidth="1"/>
    <col min="12" max="12" width="32" bestFit="1" customWidth="1"/>
    <col min="17" max="17" width="11.140625" customWidth="1"/>
  </cols>
  <sheetData>
    <row r="1" spans="1:17" s="45" customFormat="1" ht="68.25" customHeight="1">
      <c r="A1" s="110" t="e" vm="2">
        <v>#VALUE!</v>
      </c>
      <c r="C1" s="112" t="str" cm="1">
        <f t="array" ref="C1">Translatefct(940,0)</f>
        <v>SUMPRODUCT</v>
      </c>
      <c r="D1" s="111"/>
      <c r="G1" s="32" t="str" cm="1">
        <f t="array" ref="G1">Translatefct(940,1)</f>
        <v>Returns the sum of the products of corresponding ranges or arrays.</v>
      </c>
    </row>
    <row r="4" spans="1:17" ht="18.75">
      <c r="B4" s="126" t="str" cm="1">
        <f t="array" ref="B4">TranslateMe(211)</f>
        <v>Company</v>
      </c>
      <c r="C4" s="126" t="str" cm="1">
        <f t="array" ref="C4">TranslateMe(191)</f>
        <v>Products</v>
      </c>
      <c r="D4" s="126" t="str" cm="1">
        <f t="array" ref="D4">TranslateMe(192)</f>
        <v>Unit price</v>
      </c>
      <c r="E4" s="126" t="str" cm="1">
        <f t="array" ref="E4">TranslateMe(195)</f>
        <v>Qty</v>
      </c>
      <c r="F4" s="126" t="s">
        <v>833</v>
      </c>
      <c r="Q4" s="10"/>
    </row>
    <row r="5" spans="1:17" ht="28.5">
      <c r="B5" s="43" t="s">
        <v>862</v>
      </c>
      <c r="C5" s="43" t="s">
        <v>863</v>
      </c>
      <c r="D5" s="43">
        <v>122</v>
      </c>
      <c r="E5" s="43">
        <v>23</v>
      </c>
      <c r="F5" s="43">
        <f>D5*E5</f>
        <v>2806</v>
      </c>
      <c r="G5" s="10"/>
      <c r="I5" s="9" t="str" cm="1">
        <f t="array" ref="I5">TranslateMe(214)</f>
        <v>SUMPRODUCT WITH CONDITION</v>
      </c>
      <c r="M5" t="str">
        <f ca="1">_xlfn.FORMULATEXT($J$8)</f>
        <v>=SOMMEPROD((C5:C16=J7)*1;E5:E16)</v>
      </c>
      <c r="Q5" s="10"/>
    </row>
    <row r="6" spans="1:17" ht="18.75">
      <c r="B6" s="43" t="s">
        <v>864</v>
      </c>
      <c r="C6" s="43" t="s">
        <v>865</v>
      </c>
      <c r="D6" s="43">
        <v>115</v>
      </c>
      <c r="E6" s="43">
        <v>15</v>
      </c>
      <c r="F6" s="43">
        <f t="shared" ref="F6:F16" si="0">D6*E6</f>
        <v>1725</v>
      </c>
      <c r="G6" s="10"/>
      <c r="Q6" s="10"/>
    </row>
    <row r="7" spans="1:17" ht="21">
      <c r="B7" s="43" t="s">
        <v>866</v>
      </c>
      <c r="C7" s="43" t="s">
        <v>867</v>
      </c>
      <c r="D7" s="43">
        <v>115</v>
      </c>
      <c r="E7" s="43">
        <v>44</v>
      </c>
      <c r="F7" s="43">
        <f t="shared" si="0"/>
        <v>5060</v>
      </c>
      <c r="G7" s="10"/>
      <c r="I7" s="66" t="str" cm="1">
        <f t="array" ref="I7">TranslateMe(212)</f>
        <v>Product</v>
      </c>
      <c r="J7" s="67" t="s">
        <v>868</v>
      </c>
      <c r="M7" t="str">
        <f ca="1">_xlfn.FORMULATEXT(J9)</f>
        <v>=SOMMEPROD((C5:C16=J7)*1;E5:E16;D5:D16)</v>
      </c>
      <c r="Q7" s="10"/>
    </row>
    <row r="8" spans="1:17" ht="26.25" customHeight="1">
      <c r="B8" s="43" t="s">
        <v>869</v>
      </c>
      <c r="C8" s="43" t="s">
        <v>870</v>
      </c>
      <c r="D8" s="43">
        <v>185</v>
      </c>
      <c r="E8" s="43">
        <v>35</v>
      </c>
      <c r="F8" s="43">
        <f t="shared" si="0"/>
        <v>6475</v>
      </c>
      <c r="G8" s="10"/>
      <c r="I8" s="66" t="str" cm="1">
        <f t="array" ref="I8">TranslateMe(195)</f>
        <v>Qty</v>
      </c>
      <c r="J8" s="16" cm="1">
        <f t="array" ref="J8">SUMPRODUCT((C5:C16=J7)*1,E5:E16)</f>
        <v>154</v>
      </c>
      <c r="Q8" s="10"/>
    </row>
    <row r="9" spans="1:17" ht="26.25" customHeight="1">
      <c r="B9" s="43" t="s">
        <v>871</v>
      </c>
      <c r="C9" s="43" t="s">
        <v>870</v>
      </c>
      <c r="D9" s="43">
        <v>185</v>
      </c>
      <c r="E9" s="43">
        <v>26</v>
      </c>
      <c r="F9" s="43">
        <f t="shared" si="0"/>
        <v>4810</v>
      </c>
      <c r="G9" s="10"/>
      <c r="I9" s="66" t="str" cm="1">
        <f t="array" ref="I9">TranslateMe(210)</f>
        <v>Sale</v>
      </c>
      <c r="J9" s="32" cm="1">
        <f t="array" ref="J9">SUMPRODUCT((C5:C16=J7)*1,E5:E16,D5:D16)</f>
        <v>7546</v>
      </c>
      <c r="Q9" s="10"/>
    </row>
    <row r="10" spans="1:17" ht="18.75">
      <c r="B10" s="43" t="s">
        <v>862</v>
      </c>
      <c r="C10" s="43" t="s">
        <v>870</v>
      </c>
      <c r="D10" s="43">
        <v>185</v>
      </c>
      <c r="E10" s="43">
        <v>17</v>
      </c>
      <c r="F10" s="43">
        <f t="shared" si="0"/>
        <v>3145</v>
      </c>
      <c r="G10" s="10"/>
      <c r="Q10" s="10"/>
    </row>
    <row r="11" spans="1:17" ht="18.75" customHeight="1">
      <c r="B11" s="43" t="s">
        <v>871</v>
      </c>
      <c r="C11" s="43" t="s">
        <v>872</v>
      </c>
      <c r="D11" s="43">
        <v>205</v>
      </c>
      <c r="E11" s="43">
        <v>18</v>
      </c>
      <c r="F11" s="43">
        <f t="shared" si="0"/>
        <v>3690</v>
      </c>
      <c r="G11" s="10"/>
      <c r="I11" s="226" t="str" cm="1">
        <f t="array" ref="I11">TranslateMe(215)</f>
        <v>The first condition has to be converted from boolean to number thus the *1</v>
      </c>
      <c r="J11" s="226"/>
      <c r="Q11" s="10"/>
    </row>
    <row r="12" spans="1:17" ht="19.5" thickBot="1">
      <c r="B12" s="43" t="s">
        <v>866</v>
      </c>
      <c r="C12" s="43" t="s">
        <v>873</v>
      </c>
      <c r="D12" s="43">
        <v>115</v>
      </c>
      <c r="E12" s="43">
        <v>101</v>
      </c>
      <c r="F12" s="43">
        <f t="shared" si="0"/>
        <v>11615</v>
      </c>
      <c r="G12" s="10"/>
      <c r="I12" s="226"/>
      <c r="J12" s="226"/>
      <c r="Q12" s="10"/>
    </row>
    <row r="13" spans="1:17" ht="18.75">
      <c r="B13" s="43" t="s">
        <v>869</v>
      </c>
      <c r="C13" s="43" t="s">
        <v>868</v>
      </c>
      <c r="D13" s="43">
        <v>49</v>
      </c>
      <c r="E13" s="43">
        <v>154</v>
      </c>
      <c r="F13" s="43">
        <f t="shared" si="0"/>
        <v>7546</v>
      </c>
      <c r="G13" s="10"/>
      <c r="J13" s="98" t="str">
        <f ca="1">_xlfn.FORMULATEXT(J14)</f>
        <v>=C5:C16=J7</v>
      </c>
      <c r="K13" s="99" t="str">
        <f t="shared" ref="K13:M13" ca="1" si="1">_xlfn.FORMULATEXT(K14)</f>
        <v>=(C5:C16=J7)*1</v>
      </c>
      <c r="L13" s="99" t="str">
        <f t="shared" ca="1" si="1"/>
        <v>=$E$5:$E$16*$D$5:$D$16</v>
      </c>
      <c r="M13" s="99" t="str">
        <f t="shared" ca="1" si="1"/>
        <v>=(C5:C16=J7)*1*E5:E16*D5:D16</v>
      </c>
      <c r="N13" s="36"/>
      <c r="O13" s="36"/>
      <c r="P13" s="37"/>
      <c r="Q13" s="10"/>
    </row>
    <row r="14" spans="1:17" ht="18.75">
      <c r="B14" s="43" t="s">
        <v>869</v>
      </c>
      <c r="C14" s="43" t="s">
        <v>874</v>
      </c>
      <c r="D14" s="43">
        <v>115</v>
      </c>
      <c r="E14" s="43">
        <v>66</v>
      </c>
      <c r="F14" s="43">
        <f t="shared" si="0"/>
        <v>7590</v>
      </c>
      <c r="G14" s="10"/>
      <c r="J14" s="39" t="b" cm="1">
        <f t="array" ref="J14:J25">C5:C16=J7</f>
        <v>0</v>
      </c>
      <c r="K14" cm="1">
        <f t="array" ref="K14:K25">(C5:C16=J7)*1</f>
        <v>0</v>
      </c>
      <c r="L14" cm="1">
        <f t="array" ref="L14:L25">$E$5:$E$16*$D$5:$D$16</f>
        <v>2806</v>
      </c>
      <c r="M14" cm="1">
        <f t="array" ref="M14:M25">(C5:C16=J7)*1*E5:E16*D5:D16</f>
        <v>0</v>
      </c>
      <c r="P14" s="38"/>
      <c r="Q14" s="10"/>
    </row>
    <row r="15" spans="1:17" ht="18.75">
      <c r="B15" s="43" t="s">
        <v>864</v>
      </c>
      <c r="C15" s="43" t="s">
        <v>867</v>
      </c>
      <c r="D15" s="43">
        <v>115</v>
      </c>
      <c r="E15" s="43">
        <v>52</v>
      </c>
      <c r="F15" s="43">
        <f t="shared" si="0"/>
        <v>5980</v>
      </c>
      <c r="G15" s="225"/>
      <c r="J15" s="39" t="b">
        <v>0</v>
      </c>
      <c r="K15">
        <v>0</v>
      </c>
      <c r="L15">
        <v>1725</v>
      </c>
      <c r="M15">
        <v>0</v>
      </c>
      <c r="P15" s="38"/>
      <c r="Q15" s="10"/>
    </row>
    <row r="16" spans="1:17" ht="18.75">
      <c r="B16" s="43" t="s">
        <v>862</v>
      </c>
      <c r="C16" s="43" t="s">
        <v>875</v>
      </c>
      <c r="D16" s="43">
        <v>77</v>
      </c>
      <c r="E16" s="43">
        <v>13</v>
      </c>
      <c r="F16" s="43">
        <f t="shared" si="0"/>
        <v>1001</v>
      </c>
      <c r="G16" s="225"/>
      <c r="J16" s="39" t="b">
        <v>0</v>
      </c>
      <c r="K16">
        <v>0</v>
      </c>
      <c r="L16">
        <v>5060</v>
      </c>
      <c r="M16">
        <v>0</v>
      </c>
      <c r="P16" s="38"/>
    </row>
    <row r="17" spans="3:16" ht="18.75">
      <c r="E17" s="58" t="s">
        <v>876</v>
      </c>
      <c r="F17" s="65">
        <f>SUM(F5:F16)</f>
        <v>61443</v>
      </c>
      <c r="G17" s="24" t="str">
        <f ca="1">_xlfn.FORMULATEXT(F17)</f>
        <v>=SOMME(F5:F16)</v>
      </c>
      <c r="J17" s="39" t="b">
        <v>0</v>
      </c>
      <c r="K17">
        <v>0</v>
      </c>
      <c r="L17">
        <v>6475</v>
      </c>
      <c r="M17">
        <v>0</v>
      </c>
      <c r="P17" s="38"/>
    </row>
    <row r="18" spans="3:16" ht="23.25">
      <c r="E18" s="58" t="s">
        <v>877</v>
      </c>
      <c r="F18" s="63">
        <f>SUMPRODUCT(D5:D16,E5:E16)</f>
        <v>61443</v>
      </c>
      <c r="G18" s="24" t="str">
        <f ca="1">_xlfn.FORMULATEXT(F18)</f>
        <v>=SOMMEPROD(D5:D16;E5:E16)</v>
      </c>
      <c r="J18" s="39" t="b">
        <v>0</v>
      </c>
      <c r="K18">
        <v>0</v>
      </c>
      <c r="L18">
        <v>4810</v>
      </c>
      <c r="M18">
        <v>0</v>
      </c>
      <c r="P18" s="38"/>
    </row>
    <row r="19" spans="3:16">
      <c r="J19" s="39" t="b">
        <v>0</v>
      </c>
      <c r="K19">
        <v>0</v>
      </c>
      <c r="L19">
        <v>3145</v>
      </c>
      <c r="M19">
        <v>0</v>
      </c>
      <c r="P19" s="38"/>
    </row>
    <row r="20" spans="3:16">
      <c r="J20" s="39" t="b">
        <v>0</v>
      </c>
      <c r="K20">
        <v>0</v>
      </c>
      <c r="L20">
        <v>3690</v>
      </c>
      <c r="M20">
        <v>0</v>
      </c>
      <c r="P20" s="38"/>
    </row>
    <row r="21" spans="3:16">
      <c r="J21" s="39" t="b">
        <v>0</v>
      </c>
      <c r="K21">
        <v>0</v>
      </c>
      <c r="L21">
        <v>11615</v>
      </c>
      <c r="M21">
        <v>0</v>
      </c>
      <c r="P21" s="38"/>
    </row>
    <row r="22" spans="3:16">
      <c r="J22" s="39" t="b">
        <v>1</v>
      </c>
      <c r="K22">
        <v>1</v>
      </c>
      <c r="L22">
        <v>7546</v>
      </c>
      <c r="M22">
        <v>7546</v>
      </c>
      <c r="P22" s="38"/>
    </row>
    <row r="23" spans="3:16">
      <c r="J23" s="39" t="b">
        <v>0</v>
      </c>
      <c r="K23">
        <v>0</v>
      </c>
      <c r="L23">
        <v>7590</v>
      </c>
      <c r="M23">
        <v>0</v>
      </c>
      <c r="P23" s="38"/>
    </row>
    <row r="24" spans="3:16">
      <c r="J24" s="39" t="b">
        <v>0</v>
      </c>
      <c r="K24">
        <v>0</v>
      </c>
      <c r="L24">
        <v>5980</v>
      </c>
      <c r="M24">
        <v>0</v>
      </c>
      <c r="P24" s="38"/>
    </row>
    <row r="25" spans="3:16" ht="15.75" thickBot="1">
      <c r="J25" s="100" t="b">
        <v>0</v>
      </c>
      <c r="K25" s="40">
        <v>0</v>
      </c>
      <c r="L25" s="40">
        <v>1001</v>
      </c>
      <c r="M25" s="40">
        <v>0</v>
      </c>
      <c r="N25" s="40"/>
      <c r="O25" s="40"/>
      <c r="P25" s="41"/>
    </row>
    <row r="32" spans="3:16" ht="18.75">
      <c r="C32" s="24"/>
      <c r="D32" s="24"/>
    </row>
  </sheetData>
  <sortState xmlns:xlrd2="http://schemas.microsoft.com/office/spreadsheetml/2017/richdata2" ref="Q4:Q15">
    <sortCondition ref="Q4:Q15"/>
  </sortState>
  <mergeCells count="2">
    <mergeCell ref="G15:G16"/>
    <mergeCell ref="I11:J12"/>
  </mergeCells>
  <phoneticPr fontId="3" type="noConversion"/>
  <conditionalFormatting sqref="F5:F16">
    <cfRule type="expression" dxfId="35" priority="2">
      <formula>C5=$J$7</formula>
    </cfRule>
  </conditionalFormatting>
  <conditionalFormatting sqref="J7">
    <cfRule type="expression" dxfId="34" priority="1">
      <formula>G7=$J$7</formula>
    </cfRule>
  </conditionalFormatting>
  <dataValidations count="1">
    <dataValidation type="list" allowBlank="1" showInputMessage="1" showErrorMessage="1" sqref="J7" xr:uid="{A3893A16-0B3F-4554-9B99-AE37BFFC9F1D}">
      <formula1>_xlfn.ANCHORARRAY($D$22)</formula1>
    </dataValidation>
  </dataValidations>
  <hyperlinks>
    <hyperlink ref="A1" location="MENU!A1" display="MENU!A1" xr:uid="{D12CBA04-C348-4B41-981B-9F34CC829BBB}"/>
  </hyperlinks>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88F57-E4B3-4829-B981-974FCA021638}">
  <sheetPr codeName="Feuil1">
    <tabColor theme="7"/>
  </sheetPr>
  <dimension ref="A1:U124"/>
  <sheetViews>
    <sheetView topLeftCell="A20" workbookViewId="0">
      <selection activeCell="O35" sqref="O35"/>
    </sheetView>
  </sheetViews>
  <sheetFormatPr defaultColWidth="11.42578125" defaultRowHeight="15"/>
  <cols>
    <col min="2" max="2" width="15.42578125" customWidth="1"/>
    <col min="3" max="3" width="16.28515625" bestFit="1" customWidth="1"/>
    <col min="4" max="4" width="13.5703125" customWidth="1"/>
    <col min="5" max="5" width="10.28515625" customWidth="1"/>
    <col min="6" max="6" width="10.28515625" style="17" customWidth="1"/>
    <col min="7" max="7" width="10.5703125" bestFit="1" customWidth="1"/>
    <col min="8" max="8" width="16.42578125" bestFit="1" customWidth="1"/>
    <col min="9" max="9" width="16.28515625" customWidth="1"/>
    <col min="10" max="10" width="15.85546875" customWidth="1"/>
    <col min="11" max="11" width="8.42578125" bestFit="1" customWidth="1"/>
    <col min="12" max="12" width="14.42578125" bestFit="1" customWidth="1"/>
    <col min="13" max="13" width="14.42578125" customWidth="1"/>
    <col min="14" max="14" width="11.7109375" customWidth="1"/>
    <col min="15" max="15" width="15.85546875" customWidth="1"/>
    <col min="16" max="16" width="9.28515625" bestFit="1" customWidth="1"/>
    <col min="17" max="19" width="8.140625" bestFit="1" customWidth="1"/>
    <col min="20" max="20" width="15" bestFit="1" customWidth="1"/>
    <col min="21" max="21" width="14.42578125" bestFit="1" customWidth="1"/>
    <col min="22" max="22" width="5" bestFit="1" customWidth="1"/>
    <col min="23" max="23" width="3.7109375" bestFit="1" customWidth="1"/>
    <col min="24" max="24" width="8.140625" bestFit="1" customWidth="1"/>
  </cols>
  <sheetData>
    <row r="1" spans="1:21" s="45" customFormat="1" ht="68.25" customHeight="1">
      <c r="A1" s="110" t="e" vm="2">
        <v>#VALUE!</v>
      </c>
      <c r="B1" s="45" t="e" vm="3">
        <v>#VALUE!</v>
      </c>
      <c r="C1" s="112" t="str" cm="1">
        <f t="array" ref="C1">Translatefct(10,0)</f>
        <v>FILTER</v>
      </c>
      <c r="D1" s="111"/>
      <c r="G1" s="32" t="str" cm="1">
        <f t="array" ref="G1">Translatefct(10,1)</f>
        <v>Returns an array of values that meet specified conditions.</v>
      </c>
    </row>
    <row r="3" spans="1:21" ht="15.75">
      <c r="B3" s="113" t="s">
        <v>671</v>
      </c>
      <c r="C3" s="113" t="s">
        <v>665</v>
      </c>
      <c r="D3" s="113" t="s">
        <v>878</v>
      </c>
      <c r="E3" s="113" t="s">
        <v>677</v>
      </c>
      <c r="F3" s="113" t="s">
        <v>675</v>
      </c>
      <c r="G3" s="113" t="s">
        <v>879</v>
      </c>
      <c r="H3" s="113" t="s">
        <v>880</v>
      </c>
      <c r="J3" s="69" t="s">
        <v>881</v>
      </c>
      <c r="K3" s="70" t="s">
        <v>882</v>
      </c>
      <c r="T3" s="4" t="str" cm="1">
        <f t="array" ref="T3">TranslateMe(222)</f>
        <v>logical test within a formula</v>
      </c>
      <c r="U3" s="4"/>
    </row>
    <row r="4" spans="1:21" ht="18.75">
      <c r="B4" s="88" t="s">
        <v>883</v>
      </c>
      <c r="C4" s="89" t="s">
        <v>884</v>
      </c>
      <c r="D4" s="93">
        <v>5000</v>
      </c>
      <c r="E4" s="91">
        <v>1996</v>
      </c>
      <c r="F4" s="92" t="s">
        <v>885</v>
      </c>
      <c r="G4" s="90" t="s">
        <v>886</v>
      </c>
      <c r="H4" s="90" t="s">
        <v>487</v>
      </c>
      <c r="I4" s="71"/>
      <c r="J4" s="72" t="str" cm="1">
        <f t="array" ref="J4">TranslateMe(217)</f>
        <v>FILTER WITH 1 CONDITION</v>
      </c>
      <c r="K4" s="73"/>
      <c r="L4" s="73"/>
      <c r="M4" s="73"/>
      <c r="N4" s="73"/>
      <c r="O4" s="73"/>
      <c r="P4" s="73"/>
      <c r="Q4" s="73"/>
      <c r="T4" s="5" t="s">
        <v>887</v>
      </c>
      <c r="U4" s="5" t="s">
        <v>294</v>
      </c>
    </row>
    <row r="5" spans="1:21" ht="18.75">
      <c r="B5" s="88" t="s">
        <v>888</v>
      </c>
      <c r="C5" s="89" t="s">
        <v>889</v>
      </c>
      <c r="D5" s="93">
        <v>5200</v>
      </c>
      <c r="E5" s="91">
        <v>2001</v>
      </c>
      <c r="F5" s="92" t="s">
        <v>890</v>
      </c>
      <c r="G5" s="90" t="s">
        <v>891</v>
      </c>
      <c r="H5" s="90" t="s">
        <v>487</v>
      </c>
      <c r="I5" s="71"/>
      <c r="J5" s="24" t="str">
        <f ca="1">_xlfn.FORMULATEXT(K6)</f>
        <v>=FILTRE(rng_Filter;Department=$K$3;NotFound)</v>
      </c>
      <c r="T5" s="5" t="s">
        <v>892</v>
      </c>
      <c r="U5" s="5" t="s">
        <v>298</v>
      </c>
    </row>
    <row r="6" spans="1:21" ht="15.75">
      <c r="B6" s="88" t="s">
        <v>893</v>
      </c>
      <c r="C6" s="89" t="s">
        <v>894</v>
      </c>
      <c r="D6" s="93">
        <v>8500</v>
      </c>
      <c r="E6" s="91">
        <v>1998</v>
      </c>
      <c r="F6" s="92" t="s">
        <v>885</v>
      </c>
      <c r="G6" s="90" t="s">
        <v>895</v>
      </c>
      <c r="H6" s="90" t="s">
        <v>473</v>
      </c>
      <c r="I6" s="71"/>
      <c r="J6" s="28"/>
      <c r="K6" s="28" t="str" cm="1">
        <f t="array" ref="K6:Q13">_xlfn._xlws.FILTER(rng_Filter,Department=$K$3,NotFound)</f>
        <v>Finance</v>
      </c>
      <c r="L6" s="28" t="str">
        <v>Camille Dubois</v>
      </c>
      <c r="M6" s="28">
        <v>5000</v>
      </c>
      <c r="N6" s="28">
        <v>1996</v>
      </c>
      <c r="O6" s="28" t="str">
        <v>F</v>
      </c>
      <c r="P6" s="28" t="str">
        <v>Zurich</v>
      </c>
      <c r="Q6" s="28" t="str">
        <v>Training</v>
      </c>
    </row>
    <row r="7" spans="1:21" ht="15.75">
      <c r="B7" s="88" t="s">
        <v>893</v>
      </c>
      <c r="C7" s="89" t="s">
        <v>896</v>
      </c>
      <c r="D7" s="93">
        <v>9800</v>
      </c>
      <c r="E7" s="91">
        <v>1965</v>
      </c>
      <c r="F7" s="92" t="s">
        <v>890</v>
      </c>
      <c r="G7" s="90" t="s">
        <v>891</v>
      </c>
      <c r="H7" s="90" t="s">
        <v>473</v>
      </c>
      <c r="I7" s="71"/>
      <c r="J7" s="28"/>
      <c r="K7" s="28" t="str">
        <v>Finance</v>
      </c>
      <c r="L7" s="28" t="str">
        <v>Emma Garcia</v>
      </c>
      <c r="M7" s="28">
        <v>7300</v>
      </c>
      <c r="N7" s="28">
        <v>1987</v>
      </c>
      <c r="O7" s="28" t="str">
        <v>F</v>
      </c>
      <c r="P7" s="28" t="str">
        <v>Geneva</v>
      </c>
      <c r="Q7" s="28" t="str">
        <v>Active</v>
      </c>
      <c r="T7" s="6" t="str" cm="1">
        <f t="array" ref="T7">TranslateMe(223)</f>
        <v>Don't forget the ( and ) around boolean comparisons !</v>
      </c>
    </row>
    <row r="8" spans="1:21" ht="15.75">
      <c r="B8" s="88" t="s">
        <v>883</v>
      </c>
      <c r="C8" s="89" t="s">
        <v>897</v>
      </c>
      <c r="D8" s="93">
        <v>7300</v>
      </c>
      <c r="E8" s="91">
        <v>1987</v>
      </c>
      <c r="F8" s="92" t="s">
        <v>885</v>
      </c>
      <c r="G8" s="90" t="s">
        <v>891</v>
      </c>
      <c r="H8" s="90" t="s">
        <v>473</v>
      </c>
      <c r="I8" s="71"/>
      <c r="J8" s="28"/>
      <c r="K8" s="28" t="str">
        <v>Finance</v>
      </c>
      <c r="L8" s="28" t="str">
        <v>Léa Rousseau</v>
      </c>
      <c r="M8" s="28">
        <v>4900</v>
      </c>
      <c r="N8" s="28">
        <v>1996</v>
      </c>
      <c r="O8" s="28" t="str">
        <v>ND</v>
      </c>
      <c r="P8" s="28" t="str">
        <v>Geneva</v>
      </c>
      <c r="Q8" s="28" t="str">
        <v>Active</v>
      </c>
    </row>
    <row r="9" spans="1:21" ht="15.75">
      <c r="B9" s="88" t="s">
        <v>893</v>
      </c>
      <c r="C9" s="89" t="s">
        <v>898</v>
      </c>
      <c r="D9" s="93">
        <v>10600</v>
      </c>
      <c r="E9" s="91">
        <v>1979</v>
      </c>
      <c r="F9" s="92" t="s">
        <v>890</v>
      </c>
      <c r="G9" s="90" t="s">
        <v>895</v>
      </c>
      <c r="H9" s="90" t="s">
        <v>473</v>
      </c>
      <c r="I9" s="71"/>
      <c r="J9" s="28"/>
      <c r="K9" s="28" t="str">
        <v>Finance</v>
      </c>
      <c r="L9" s="28" t="str">
        <v>Nathan Leroy</v>
      </c>
      <c r="M9" s="28">
        <v>11750</v>
      </c>
      <c r="N9" s="28">
        <v>2005</v>
      </c>
      <c r="O9" s="28" t="str">
        <v>F</v>
      </c>
      <c r="P9" s="28" t="str">
        <v>Zurich</v>
      </c>
      <c r="Q9" s="28" t="str">
        <v>Active</v>
      </c>
    </row>
    <row r="10" spans="1:21" ht="15.75">
      <c r="B10" s="88" t="s">
        <v>883</v>
      </c>
      <c r="C10" s="89" t="s">
        <v>899</v>
      </c>
      <c r="D10" s="93">
        <v>4900</v>
      </c>
      <c r="E10" s="91">
        <v>1996</v>
      </c>
      <c r="F10" s="92" t="s">
        <v>900</v>
      </c>
      <c r="G10" s="90" t="s">
        <v>891</v>
      </c>
      <c r="H10" s="90" t="s">
        <v>473</v>
      </c>
      <c r="I10" s="71"/>
      <c r="J10" s="28"/>
      <c r="K10" s="28" t="str">
        <v>Finance</v>
      </c>
      <c r="L10" s="28" t="str">
        <v>Jade Simon</v>
      </c>
      <c r="M10" s="28">
        <v>8900</v>
      </c>
      <c r="N10" s="28">
        <v>1961</v>
      </c>
      <c r="O10" s="28" t="str">
        <v>F</v>
      </c>
      <c r="P10" s="28" t="str">
        <v>Geneva</v>
      </c>
      <c r="Q10" s="28" t="str">
        <v>Retired</v>
      </c>
    </row>
    <row r="11" spans="1:21" ht="15.75">
      <c r="B11" s="88" t="s">
        <v>883</v>
      </c>
      <c r="C11" s="89" t="s">
        <v>901</v>
      </c>
      <c r="D11" s="93">
        <v>11750</v>
      </c>
      <c r="E11" s="91">
        <v>2005</v>
      </c>
      <c r="F11" s="92" t="s">
        <v>885</v>
      </c>
      <c r="G11" s="90" t="s">
        <v>886</v>
      </c>
      <c r="H11" s="90" t="s">
        <v>473</v>
      </c>
      <c r="I11" s="71"/>
      <c r="J11" s="28"/>
      <c r="K11" s="28" t="str">
        <v>Finance</v>
      </c>
      <c r="L11" s="28" t="str">
        <v>Maxime Robin</v>
      </c>
      <c r="M11" s="28">
        <v>13450</v>
      </c>
      <c r="N11" s="28">
        <v>1974</v>
      </c>
      <c r="O11" s="28" t="str">
        <v>M</v>
      </c>
      <c r="P11" s="28" t="str">
        <v>Lausanne</v>
      </c>
      <c r="Q11" s="28" t="str">
        <v>Active</v>
      </c>
    </row>
    <row r="12" spans="1:21" ht="15.75">
      <c r="B12" s="88" t="s">
        <v>893</v>
      </c>
      <c r="C12" s="89" t="s">
        <v>902</v>
      </c>
      <c r="D12" s="93">
        <v>9100</v>
      </c>
      <c r="E12" s="91">
        <v>2003</v>
      </c>
      <c r="F12" s="92" t="s">
        <v>885</v>
      </c>
      <c r="G12" s="90" t="s">
        <v>886</v>
      </c>
      <c r="H12" s="90" t="s">
        <v>478</v>
      </c>
      <c r="I12" s="71"/>
      <c r="J12" s="28"/>
      <c r="K12" s="28" t="str">
        <v>Finance</v>
      </c>
      <c r="L12" s="28" t="str">
        <v>Sarah Thomas</v>
      </c>
      <c r="M12" s="28">
        <v>13600</v>
      </c>
      <c r="N12" s="28">
        <v>1989</v>
      </c>
      <c r="O12" s="28" t="str">
        <v>F</v>
      </c>
      <c r="P12" s="28" t="str">
        <v>Lausanne</v>
      </c>
      <c r="Q12" s="28" t="str">
        <v>Active</v>
      </c>
    </row>
    <row r="13" spans="1:21" ht="15.75">
      <c r="B13" s="88" t="s">
        <v>888</v>
      </c>
      <c r="C13" s="89" t="s">
        <v>903</v>
      </c>
      <c r="D13" s="93">
        <v>12300</v>
      </c>
      <c r="E13" s="91">
        <v>2001</v>
      </c>
      <c r="F13" s="92" t="s">
        <v>890</v>
      </c>
      <c r="G13" s="90" t="s">
        <v>891</v>
      </c>
      <c r="H13" s="90" t="s">
        <v>473</v>
      </c>
      <c r="I13" s="71"/>
      <c r="J13" s="28"/>
      <c r="K13" s="28" t="str">
        <v>Finance</v>
      </c>
      <c r="L13" s="28" t="str">
        <v>Ethan Gauthier</v>
      </c>
      <c r="M13" s="28">
        <v>7500</v>
      </c>
      <c r="N13" s="28">
        <v>2000</v>
      </c>
      <c r="O13" s="28" t="str">
        <v>M</v>
      </c>
      <c r="P13" s="28" t="str">
        <v>Zurich</v>
      </c>
      <c r="Q13" s="28" t="str">
        <v>Active</v>
      </c>
    </row>
    <row r="14" spans="1:21" ht="15.75">
      <c r="B14" s="88" t="s">
        <v>893</v>
      </c>
      <c r="C14" s="89" t="s">
        <v>904</v>
      </c>
      <c r="D14" s="93">
        <v>7800</v>
      </c>
      <c r="E14" s="91">
        <v>1995</v>
      </c>
      <c r="F14" s="92" t="s">
        <v>885</v>
      </c>
      <c r="G14" s="90" t="s">
        <v>891</v>
      </c>
      <c r="H14" s="90" t="s">
        <v>473</v>
      </c>
      <c r="I14" s="71"/>
      <c r="J14" s="28"/>
      <c r="K14" s="28"/>
      <c r="L14" s="28"/>
      <c r="M14" s="28"/>
      <c r="N14" s="28"/>
      <c r="O14" s="28"/>
      <c r="P14" s="28"/>
      <c r="Q14" s="28"/>
    </row>
    <row r="15" spans="1:21" ht="15.75">
      <c r="B15" s="88" t="s">
        <v>888</v>
      </c>
      <c r="C15" s="89" t="s">
        <v>905</v>
      </c>
      <c r="D15" s="93">
        <v>10200</v>
      </c>
      <c r="E15" s="91">
        <v>1990</v>
      </c>
      <c r="F15" s="92" t="s">
        <v>890</v>
      </c>
      <c r="G15" s="90" t="s">
        <v>895</v>
      </c>
      <c r="H15" s="90" t="s">
        <v>473</v>
      </c>
      <c r="I15" s="71"/>
      <c r="J15" s="28"/>
      <c r="K15" s="28"/>
      <c r="L15" s="28"/>
      <c r="M15" s="28"/>
      <c r="N15" s="28"/>
      <c r="O15" s="28"/>
      <c r="P15" s="28"/>
      <c r="Q15" s="28"/>
    </row>
    <row r="16" spans="1:21" ht="15.75">
      <c r="B16" s="88" t="s">
        <v>893</v>
      </c>
      <c r="C16" s="89" t="s">
        <v>906</v>
      </c>
      <c r="D16" s="93">
        <v>6500</v>
      </c>
      <c r="E16" s="91">
        <v>1984</v>
      </c>
      <c r="F16" s="92" t="s">
        <v>885</v>
      </c>
      <c r="G16" s="90" t="s">
        <v>891</v>
      </c>
      <c r="H16" s="90" t="s">
        <v>473</v>
      </c>
      <c r="I16" s="71"/>
      <c r="J16" s="28"/>
      <c r="K16" s="28"/>
      <c r="L16" s="28"/>
      <c r="M16" s="28"/>
      <c r="N16" s="28"/>
      <c r="O16" s="28"/>
      <c r="P16" s="28"/>
      <c r="Q16" s="28"/>
    </row>
    <row r="17" spans="2:21" ht="15.75">
      <c r="B17" s="88" t="s">
        <v>893</v>
      </c>
      <c r="C17" s="89" t="s">
        <v>907</v>
      </c>
      <c r="D17" s="93">
        <v>11000</v>
      </c>
      <c r="E17" s="91">
        <v>1966</v>
      </c>
      <c r="F17" s="92" t="s">
        <v>890</v>
      </c>
      <c r="G17" s="90" t="s">
        <v>891</v>
      </c>
      <c r="H17" s="90" t="s">
        <v>484</v>
      </c>
      <c r="I17" s="71"/>
      <c r="J17" s="28"/>
      <c r="K17" s="28"/>
      <c r="L17" s="28"/>
      <c r="M17" s="28"/>
      <c r="N17" s="28"/>
      <c r="O17" s="28"/>
      <c r="P17" s="28"/>
      <c r="Q17" s="28"/>
      <c r="U17" s="29"/>
    </row>
    <row r="18" spans="2:21" ht="15.75">
      <c r="B18" s="88" t="s">
        <v>883</v>
      </c>
      <c r="C18" s="89" t="s">
        <v>908</v>
      </c>
      <c r="D18" s="93">
        <v>8900</v>
      </c>
      <c r="E18" s="91">
        <v>1961</v>
      </c>
      <c r="F18" s="92" t="s">
        <v>885</v>
      </c>
      <c r="G18" s="90" t="s">
        <v>891</v>
      </c>
      <c r="H18" s="90" t="s">
        <v>493</v>
      </c>
      <c r="I18" s="71"/>
      <c r="J18" s="28"/>
      <c r="K18" s="28"/>
      <c r="L18" s="28"/>
      <c r="M18" s="28"/>
      <c r="N18" s="28"/>
      <c r="O18" s="28"/>
      <c r="P18" s="28"/>
      <c r="Q18" s="28"/>
    </row>
    <row r="19" spans="2:21" ht="15.75">
      <c r="B19" s="88" t="s">
        <v>883</v>
      </c>
      <c r="C19" s="89" t="s">
        <v>909</v>
      </c>
      <c r="D19" s="93">
        <v>13450</v>
      </c>
      <c r="E19" s="91">
        <v>1974</v>
      </c>
      <c r="F19" s="92" t="s">
        <v>890</v>
      </c>
      <c r="G19" s="90" t="s">
        <v>910</v>
      </c>
      <c r="H19" s="90" t="s">
        <v>473</v>
      </c>
      <c r="I19" s="71"/>
      <c r="J19" s="28"/>
      <c r="K19" s="28"/>
      <c r="L19" s="28"/>
      <c r="M19" s="28"/>
      <c r="N19" s="28"/>
      <c r="O19" s="28"/>
      <c r="P19" s="28"/>
      <c r="Q19" s="28"/>
    </row>
    <row r="20" spans="2:21" ht="15.75">
      <c r="B20" s="88" t="s">
        <v>883</v>
      </c>
      <c r="C20" s="89" t="s">
        <v>911</v>
      </c>
      <c r="D20" s="93">
        <v>13600</v>
      </c>
      <c r="E20" s="91">
        <v>1989</v>
      </c>
      <c r="F20" s="92" t="s">
        <v>885</v>
      </c>
      <c r="G20" s="90" t="s">
        <v>910</v>
      </c>
      <c r="H20" s="90" t="s">
        <v>473</v>
      </c>
      <c r="I20" s="71"/>
      <c r="J20" s="28"/>
      <c r="K20" s="28"/>
      <c r="L20" s="28"/>
      <c r="M20" s="28"/>
      <c r="N20" s="28"/>
      <c r="O20" s="28"/>
      <c r="P20" s="28"/>
      <c r="Q20" s="28"/>
    </row>
    <row r="21" spans="2:21" ht="15.75">
      <c r="B21" s="88" t="s">
        <v>888</v>
      </c>
      <c r="C21" s="89" t="s">
        <v>912</v>
      </c>
      <c r="D21" s="93">
        <v>6800</v>
      </c>
      <c r="E21" s="91">
        <v>1984</v>
      </c>
      <c r="F21" s="92" t="s">
        <v>890</v>
      </c>
      <c r="G21" s="90" t="s">
        <v>910</v>
      </c>
      <c r="H21" s="90" t="s">
        <v>490</v>
      </c>
      <c r="I21" s="71"/>
      <c r="J21" s="28"/>
      <c r="K21" s="28"/>
      <c r="L21" s="28"/>
      <c r="M21" s="28"/>
      <c r="N21" s="28"/>
      <c r="O21" s="28"/>
      <c r="P21" s="28"/>
      <c r="Q21" s="28"/>
    </row>
    <row r="22" spans="2:21" ht="15.75">
      <c r="B22" s="88" t="s">
        <v>888</v>
      </c>
      <c r="C22" s="89" t="s">
        <v>913</v>
      </c>
      <c r="D22" s="93">
        <v>10300</v>
      </c>
      <c r="E22" s="91">
        <v>1998</v>
      </c>
      <c r="F22" s="92" t="s">
        <v>885</v>
      </c>
      <c r="G22" s="90" t="s">
        <v>891</v>
      </c>
      <c r="H22" s="90" t="s">
        <v>473</v>
      </c>
      <c r="I22" s="71"/>
      <c r="J22" s="28"/>
      <c r="K22" s="28"/>
      <c r="L22" s="28"/>
      <c r="M22" s="28"/>
      <c r="N22" s="28"/>
      <c r="O22" s="28"/>
      <c r="P22" s="28"/>
      <c r="Q22" s="28"/>
    </row>
    <row r="23" spans="2:21" ht="15.75">
      <c r="B23" s="88" t="s">
        <v>883</v>
      </c>
      <c r="C23" s="89" t="s">
        <v>914</v>
      </c>
      <c r="D23" s="93">
        <v>7500</v>
      </c>
      <c r="E23" s="91">
        <v>2000</v>
      </c>
      <c r="F23" s="92" t="s">
        <v>890</v>
      </c>
      <c r="G23" s="90" t="s">
        <v>886</v>
      </c>
      <c r="H23" s="90" t="s">
        <v>473</v>
      </c>
      <c r="I23" s="71"/>
      <c r="J23" s="28"/>
      <c r="K23" s="28"/>
      <c r="L23" s="28"/>
      <c r="M23" s="28"/>
      <c r="N23" s="28"/>
      <c r="O23" s="28"/>
      <c r="P23" s="28"/>
      <c r="Q23" s="28"/>
    </row>
    <row r="24" spans="2:21">
      <c r="C24" s="1"/>
      <c r="D24" s="2"/>
      <c r="E24" s="2"/>
      <c r="F24" s="74"/>
      <c r="G24" s="2"/>
      <c r="H24" s="2"/>
      <c r="I24" s="71"/>
    </row>
    <row r="25" spans="2:21">
      <c r="J25" s="72" t="str" cm="1">
        <f t="array" ref="J25">TranslateMe(218)</f>
        <v>FILTER WITH 2 CONDITIONS</v>
      </c>
      <c r="K25" s="72"/>
      <c r="L25" s="72"/>
      <c r="M25" s="72"/>
      <c r="N25" s="72"/>
      <c r="O25" s="72"/>
      <c r="P25" s="72"/>
      <c r="Q25" s="72"/>
    </row>
    <row r="26" spans="2:21" ht="18.75">
      <c r="J26" s="24" t="str">
        <f ca="1">_xlfn.FORMULATEXT(K27)</f>
        <v>=FILTRE($B$4:$D$23;(Department=$K$3)*(Salary&gt;10000);NotFound)</v>
      </c>
      <c r="K26" s="24"/>
      <c r="L26" s="24"/>
      <c r="M26" s="24"/>
      <c r="N26" s="24"/>
      <c r="O26" s="24"/>
      <c r="P26" s="24"/>
      <c r="Q26" s="24"/>
    </row>
    <row r="27" spans="2:21">
      <c r="J27" s="28"/>
      <c r="K27" s="28" t="str" cm="1">
        <f t="array" ref="K27:M29">_xlfn._xlws.FILTER($B$4:$D$23,(Department=$K$3)*(Salary&gt;10000),NotFound)</f>
        <v>Finance</v>
      </c>
      <c r="L27" s="28" t="str">
        <v>Nathan Leroy</v>
      </c>
      <c r="M27" s="28">
        <v>11750</v>
      </c>
      <c r="N27" s="28"/>
      <c r="O27" s="28"/>
      <c r="P27" s="28"/>
      <c r="Q27" s="28"/>
    </row>
    <row r="28" spans="2:21">
      <c r="J28" s="28"/>
      <c r="K28" s="28" t="str">
        <v>Finance</v>
      </c>
      <c r="L28" s="28" t="str">
        <v>Maxime Robin</v>
      </c>
      <c r="M28" s="28">
        <v>13450</v>
      </c>
      <c r="N28" s="28"/>
      <c r="O28" s="28"/>
      <c r="P28" s="28"/>
      <c r="Q28" s="28"/>
    </row>
    <row r="29" spans="2:21">
      <c r="J29" s="28"/>
      <c r="K29" s="28" t="str">
        <v>Finance</v>
      </c>
      <c r="L29" s="28" t="str">
        <v>Sarah Thomas</v>
      </c>
      <c r="M29" s="28">
        <v>13600</v>
      </c>
      <c r="N29" s="28"/>
      <c r="O29" s="28"/>
      <c r="P29" s="28"/>
      <c r="Q29" s="28"/>
    </row>
    <row r="33" spans="2:18">
      <c r="B33" s="72" t="str" cm="1">
        <f t="array" ref="B33">TranslateMe(219)</f>
        <v>FILTER AND CHOOSE COLUMNS</v>
      </c>
      <c r="C33" s="72"/>
      <c r="D33" s="72"/>
      <c r="E33" s="72"/>
      <c r="F33" s="72"/>
      <c r="G33" s="75"/>
      <c r="H33" s="72" t="str" cm="1">
        <f t="array" ref="H33">TranslateMe(220)</f>
        <v>FILTER FROM ARRAY FORMULA</v>
      </c>
      <c r="I33" s="72"/>
      <c r="J33" s="72"/>
      <c r="K33" s="72"/>
      <c r="L33" s="72"/>
      <c r="M33" s="75"/>
      <c r="N33" s="72" t="str" cm="1">
        <f t="array" ref="N33">TranslateMe(221)</f>
        <v>NESTED FILTERING</v>
      </c>
      <c r="O33" s="72"/>
      <c r="P33" s="72"/>
      <c r="Q33" s="72"/>
      <c r="R33" s="72"/>
    </row>
    <row r="34" spans="2:18" ht="18.75">
      <c r="B34" s="24" t="str">
        <f ca="1">_xlfn.FORMULATEXT(C35)</f>
        <v>=FILTRE(rng_Filter;{0.1.0.1.1.0.1};NotFound)</v>
      </c>
      <c r="F34"/>
      <c r="G34" s="33"/>
      <c r="H34" s="24" t="str">
        <f ca="1">_xlfn.FORMULATEXT(I35)</f>
        <v>=FILTRE($K$6#;{0.1.0.1.1.0.1};NotFound)</v>
      </c>
      <c r="M34" s="33"/>
      <c r="N34" s="24" t="str">
        <f ca="1">_xlfn.FORMULATEXT(O35)</f>
        <v>=FILTRE(FILTRE(rng_Filter;Department=$K$3;NotFound);{0.1.0.1.1.0.1};NotFound)</v>
      </c>
    </row>
    <row r="35" spans="2:18">
      <c r="B35" s="28"/>
      <c r="C35" s="28" t="str" cm="1">
        <f t="array" ref="C35:F54">_xlfn._xlws.FILTER(rng_Filter,{0,1,0,1,1,0,1},NotFound)</f>
        <v>Camille Dubois</v>
      </c>
      <c r="D35" s="28">
        <v>1996</v>
      </c>
      <c r="E35" s="28" t="str">
        <v>F</v>
      </c>
      <c r="F35" s="28" t="str">
        <v>Training</v>
      </c>
      <c r="G35" s="33"/>
      <c r="H35" s="28"/>
      <c r="I35" s="28" t="str" cm="1">
        <f t="array" ref="I35:L42">_xlfn._xlws.FILTER(_xlfn.ANCHORARRAY($K$6),{0,1,0,1,1,0,1},NotFound)</f>
        <v>Camille Dubois</v>
      </c>
      <c r="J35" s="28">
        <v>1996</v>
      </c>
      <c r="K35" s="28" t="str">
        <v>F</v>
      </c>
      <c r="L35" s="28" t="str">
        <v>Training</v>
      </c>
      <c r="M35" s="33"/>
      <c r="N35" s="28"/>
      <c r="O35" s="28" t="str" cm="1">
        <f t="array" ref="O35:R42">_xlfn._xlws.FILTER(_xlfn._xlws.FILTER(rng_Filter,Department=$K$3,NotFound),{0,1,0,1,1,0,1},NotFound)</f>
        <v>Camille Dubois</v>
      </c>
      <c r="P35" s="28">
        <v>1996</v>
      </c>
      <c r="Q35" s="28" t="str">
        <v>F</v>
      </c>
      <c r="R35" s="28" t="str">
        <v>Training</v>
      </c>
    </row>
    <row r="36" spans="2:18">
      <c r="B36" s="28"/>
      <c r="C36" s="28" t="str">
        <v>Lucas Martin</v>
      </c>
      <c r="D36" s="28">
        <v>2001</v>
      </c>
      <c r="E36" s="28" t="str">
        <v>M</v>
      </c>
      <c r="F36" s="28" t="str">
        <v>Training</v>
      </c>
      <c r="G36" s="33"/>
      <c r="H36" s="28"/>
      <c r="I36" s="28" t="str">
        <v>Emma Garcia</v>
      </c>
      <c r="J36" s="28">
        <v>1987</v>
      </c>
      <c r="K36" s="28" t="str">
        <v>F</v>
      </c>
      <c r="L36" s="28" t="str">
        <v>Active</v>
      </c>
      <c r="M36" s="33"/>
      <c r="N36" s="28"/>
      <c r="O36" s="28" t="str">
        <v>Emma Garcia</v>
      </c>
      <c r="P36" s="28">
        <v>1987</v>
      </c>
      <c r="Q36" s="28" t="str">
        <v>F</v>
      </c>
      <c r="R36" s="28" t="str">
        <v>Active</v>
      </c>
    </row>
    <row r="37" spans="2:18">
      <c r="B37" s="28"/>
      <c r="C37" s="28" t="str">
        <v>Manon Lambert</v>
      </c>
      <c r="D37" s="28">
        <v>1998</v>
      </c>
      <c r="E37" s="28" t="str">
        <v>F</v>
      </c>
      <c r="F37" s="28" t="str">
        <v>Active</v>
      </c>
      <c r="G37" s="33"/>
      <c r="H37" s="28"/>
      <c r="I37" s="28" t="str">
        <v>Léa Rousseau</v>
      </c>
      <c r="J37" s="28">
        <v>1996</v>
      </c>
      <c r="K37" s="28" t="str">
        <v>ND</v>
      </c>
      <c r="L37" s="28" t="str">
        <v>Active</v>
      </c>
      <c r="M37" s="33"/>
      <c r="N37" s="28"/>
      <c r="O37" s="28" t="str">
        <v>Léa Rousseau</v>
      </c>
      <c r="P37" s="28">
        <v>1996</v>
      </c>
      <c r="Q37" s="28" t="str">
        <v>ND</v>
      </c>
      <c r="R37" s="28" t="str">
        <v>Active</v>
      </c>
    </row>
    <row r="38" spans="2:18">
      <c r="B38" s="28"/>
      <c r="C38" s="28" t="str">
        <v>Hugo Dupont</v>
      </c>
      <c r="D38" s="28">
        <v>1965</v>
      </c>
      <c r="E38" s="28" t="str">
        <v>M</v>
      </c>
      <c r="F38" s="28" t="str">
        <v>Active</v>
      </c>
      <c r="G38" s="33"/>
      <c r="H38" s="28"/>
      <c r="I38" s="28" t="str">
        <v>Nathan Leroy</v>
      </c>
      <c r="J38" s="28">
        <v>2005</v>
      </c>
      <c r="K38" s="28" t="str">
        <v>F</v>
      </c>
      <c r="L38" s="28" t="str">
        <v>Active</v>
      </c>
      <c r="M38" s="33"/>
      <c r="N38" s="28"/>
      <c r="O38" s="28" t="str">
        <v>Nathan Leroy</v>
      </c>
      <c r="P38" s="28">
        <v>2005</v>
      </c>
      <c r="Q38" s="28" t="str">
        <v>F</v>
      </c>
      <c r="R38" s="28" t="str">
        <v>Active</v>
      </c>
    </row>
    <row r="39" spans="2:18">
      <c r="B39" s="28"/>
      <c r="C39" s="28" t="str">
        <v>Emma Garcia</v>
      </c>
      <c r="D39" s="28">
        <v>1987</v>
      </c>
      <c r="E39" s="28" t="str">
        <v>F</v>
      </c>
      <c r="F39" s="28" t="str">
        <v>Active</v>
      </c>
      <c r="G39" s="33"/>
      <c r="H39" s="28"/>
      <c r="I39" s="28" t="str">
        <v>Jade Simon</v>
      </c>
      <c r="J39" s="28">
        <v>1961</v>
      </c>
      <c r="K39" s="28" t="str">
        <v>F</v>
      </c>
      <c r="L39" s="28" t="str">
        <v>Retired</v>
      </c>
      <c r="M39" s="33"/>
      <c r="N39" s="28"/>
      <c r="O39" s="28" t="str">
        <v>Jade Simon</v>
      </c>
      <c r="P39" s="28">
        <v>1961</v>
      </c>
      <c r="Q39" s="28" t="str">
        <v>F</v>
      </c>
      <c r="R39" s="28" t="str">
        <v>Retired</v>
      </c>
    </row>
    <row r="40" spans="2:18">
      <c r="B40" s="28"/>
      <c r="C40" s="28" t="str">
        <v>Louis Chevalier</v>
      </c>
      <c r="D40" s="28">
        <v>1979</v>
      </c>
      <c r="E40" s="28" t="str">
        <v>M</v>
      </c>
      <c r="F40" s="28" t="str">
        <v>Active</v>
      </c>
      <c r="G40" s="33"/>
      <c r="H40" s="28"/>
      <c r="I40" s="28" t="str">
        <v>Maxime Robin</v>
      </c>
      <c r="J40" s="28">
        <v>1974</v>
      </c>
      <c r="K40" s="28" t="str">
        <v>M</v>
      </c>
      <c r="L40" s="28" t="str">
        <v>Active</v>
      </c>
      <c r="M40" s="33"/>
      <c r="N40" s="28"/>
      <c r="O40" s="28" t="str">
        <v>Maxime Robin</v>
      </c>
      <c r="P40" s="28">
        <v>1974</v>
      </c>
      <c r="Q40" s="28" t="str">
        <v>M</v>
      </c>
      <c r="R40" s="28" t="str">
        <v>Active</v>
      </c>
    </row>
    <row r="41" spans="2:18">
      <c r="B41" s="28"/>
      <c r="C41" s="28" t="str">
        <v>Léa Rousseau</v>
      </c>
      <c r="D41" s="28">
        <v>1996</v>
      </c>
      <c r="E41" s="28" t="str">
        <v>ND</v>
      </c>
      <c r="F41" s="28" t="str">
        <v>Active</v>
      </c>
      <c r="G41" s="33"/>
      <c r="H41" s="28"/>
      <c r="I41" s="28" t="str">
        <v>Sarah Thomas</v>
      </c>
      <c r="J41" s="28">
        <v>1989</v>
      </c>
      <c r="K41" s="28" t="str">
        <v>F</v>
      </c>
      <c r="L41" s="28" t="str">
        <v>Active</v>
      </c>
      <c r="M41" s="33"/>
      <c r="N41" s="28"/>
      <c r="O41" s="28" t="str">
        <v>Sarah Thomas</v>
      </c>
      <c r="P41" s="28">
        <v>1989</v>
      </c>
      <c r="Q41" s="28" t="str">
        <v>F</v>
      </c>
      <c r="R41" s="28" t="str">
        <v>Active</v>
      </c>
    </row>
    <row r="42" spans="2:18">
      <c r="B42" s="28"/>
      <c r="C42" s="28" t="str">
        <v>Nathan Leroy</v>
      </c>
      <c r="D42" s="28">
        <v>2005</v>
      </c>
      <c r="E42" s="28" t="str">
        <v>F</v>
      </c>
      <c r="F42" s="28" t="str">
        <v>Active</v>
      </c>
      <c r="G42" s="33"/>
      <c r="H42" s="28"/>
      <c r="I42" s="28" t="str">
        <v>Ethan Gauthier</v>
      </c>
      <c r="J42" s="28">
        <v>2000</v>
      </c>
      <c r="K42" s="28" t="str">
        <v>M</v>
      </c>
      <c r="L42" s="28" t="str">
        <v>Active</v>
      </c>
      <c r="M42" s="33"/>
      <c r="N42" s="28"/>
      <c r="O42" s="28" t="str">
        <v>Ethan Gauthier</v>
      </c>
      <c r="P42" s="28">
        <v>2000</v>
      </c>
      <c r="Q42" s="28" t="str">
        <v>M</v>
      </c>
      <c r="R42" s="28" t="str">
        <v>Active</v>
      </c>
    </row>
    <row r="43" spans="2:18">
      <c r="B43" s="28"/>
      <c r="C43" s="28" t="str">
        <v>Chloé Lefebvre</v>
      </c>
      <c r="D43" s="28">
        <v>2003</v>
      </c>
      <c r="E43" s="28" t="str">
        <v>F</v>
      </c>
      <c r="F43" s="28" t="str">
        <v>Maternity leave</v>
      </c>
      <c r="G43" s="33"/>
      <c r="H43" s="28"/>
      <c r="I43" s="28"/>
      <c r="J43" s="28"/>
      <c r="K43" s="28"/>
      <c r="L43" s="28"/>
      <c r="M43" s="33"/>
      <c r="N43" s="28"/>
      <c r="O43" s="28"/>
      <c r="P43" s="28"/>
      <c r="Q43" s="28"/>
      <c r="R43" s="28"/>
    </row>
    <row r="44" spans="2:18">
      <c r="B44" s="28"/>
      <c r="C44" s="28" t="str">
        <v>Enzo Moreau</v>
      </c>
      <c r="D44" s="28">
        <v>2001</v>
      </c>
      <c r="E44" s="28" t="str">
        <v>M</v>
      </c>
      <c r="F44" s="28" t="str">
        <v>Active</v>
      </c>
      <c r="G44" s="33"/>
      <c r="H44" s="28"/>
      <c r="I44" s="28"/>
      <c r="J44" s="28"/>
      <c r="K44" s="28"/>
      <c r="L44" s="28"/>
      <c r="M44" s="33"/>
      <c r="N44" s="28"/>
      <c r="O44" s="28"/>
      <c r="P44" s="28"/>
      <c r="Q44" s="28"/>
      <c r="R44" s="28"/>
    </row>
    <row r="45" spans="2:18">
      <c r="B45" s="28"/>
      <c r="C45" s="28" t="str">
        <v>Clara Mercier</v>
      </c>
      <c r="D45" s="28">
        <v>1995</v>
      </c>
      <c r="E45" s="28" t="str">
        <v>F</v>
      </c>
      <c r="F45" s="28" t="str">
        <v>Active</v>
      </c>
      <c r="G45" s="33"/>
      <c r="H45" s="28"/>
      <c r="I45" s="28"/>
      <c r="J45" s="28"/>
      <c r="K45" s="28"/>
      <c r="L45" s="28"/>
      <c r="M45" s="33"/>
      <c r="N45" s="28"/>
      <c r="O45" s="28"/>
      <c r="P45" s="28"/>
      <c r="Q45" s="28"/>
      <c r="R45" s="28"/>
    </row>
    <row r="46" spans="2:18">
      <c r="B46" s="28"/>
      <c r="C46" s="28" t="str">
        <v>Théo Laurent</v>
      </c>
      <c r="D46" s="28">
        <v>1990</v>
      </c>
      <c r="E46" s="28" t="str">
        <v>M</v>
      </c>
      <c r="F46" s="28" t="str">
        <v>Active</v>
      </c>
      <c r="G46" s="33"/>
      <c r="H46" s="28"/>
      <c r="I46" s="28"/>
      <c r="J46" s="28"/>
      <c r="K46" s="28"/>
      <c r="L46" s="28"/>
      <c r="M46" s="33"/>
      <c r="N46" s="28"/>
      <c r="O46" s="28"/>
      <c r="P46" s="28"/>
      <c r="Q46" s="28"/>
      <c r="R46" s="28"/>
    </row>
    <row r="47" spans="2:18">
      <c r="B47" s="28"/>
      <c r="C47" s="28" t="str">
        <v>Zoé Girard</v>
      </c>
      <c r="D47" s="28">
        <v>1984</v>
      </c>
      <c r="E47" s="28" t="str">
        <v>F</v>
      </c>
      <c r="F47" s="28" t="str">
        <v>Active</v>
      </c>
      <c r="G47" s="33"/>
      <c r="H47" s="28"/>
      <c r="I47" s="28"/>
      <c r="J47" s="28"/>
      <c r="K47" s="28"/>
      <c r="L47" s="28"/>
      <c r="M47" s="33"/>
      <c r="N47" s="28"/>
      <c r="O47" s="28"/>
      <c r="P47" s="28"/>
      <c r="Q47" s="28"/>
      <c r="R47" s="28"/>
    </row>
    <row r="48" spans="2:18">
      <c r="B48" s="28"/>
      <c r="C48" s="28" t="str">
        <v>Gabriel Petit</v>
      </c>
      <c r="D48" s="28">
        <v>1966</v>
      </c>
      <c r="E48" s="28" t="str">
        <v>M</v>
      </c>
      <c r="F48" s="28" t="str">
        <v>Pre-retirement</v>
      </c>
      <c r="G48" s="33"/>
      <c r="H48" s="28"/>
      <c r="I48" s="28"/>
      <c r="J48" s="28"/>
      <c r="K48" s="28"/>
      <c r="L48" s="28"/>
      <c r="M48" s="33"/>
      <c r="N48" s="28"/>
      <c r="O48" s="28"/>
      <c r="P48" s="28"/>
      <c r="Q48" s="28"/>
      <c r="R48" s="28"/>
    </row>
    <row r="49" spans="1:18">
      <c r="B49" s="28"/>
      <c r="C49" s="28" t="str">
        <v>Jade Simon</v>
      </c>
      <c r="D49" s="28">
        <v>1961</v>
      </c>
      <c r="E49" s="28" t="str">
        <v>F</v>
      </c>
      <c r="F49" s="28" t="str">
        <v>Retired</v>
      </c>
      <c r="G49" s="33"/>
      <c r="H49" s="28"/>
      <c r="I49" s="28"/>
      <c r="J49" s="28"/>
      <c r="K49" s="28"/>
      <c r="L49" s="28"/>
      <c r="M49" s="33"/>
      <c r="N49" s="28"/>
      <c r="O49" s="28"/>
      <c r="P49" s="28"/>
      <c r="Q49" s="28"/>
      <c r="R49" s="28"/>
    </row>
    <row r="50" spans="1:18">
      <c r="B50" s="28"/>
      <c r="C50" s="28" t="str">
        <v>Maxime Robin</v>
      </c>
      <c r="D50" s="28">
        <v>1974</v>
      </c>
      <c r="E50" s="28" t="str">
        <v>M</v>
      </c>
      <c r="F50" s="28" t="str">
        <v>Active</v>
      </c>
      <c r="G50" s="33"/>
      <c r="H50" s="28"/>
      <c r="I50" s="28"/>
      <c r="J50" s="28"/>
      <c r="K50" s="28"/>
      <c r="L50" s="28"/>
      <c r="M50" s="33"/>
      <c r="N50" s="28"/>
      <c r="O50" s="28"/>
      <c r="P50" s="28"/>
      <c r="Q50" s="28"/>
      <c r="R50" s="28"/>
    </row>
    <row r="51" spans="1:18">
      <c r="B51" s="28"/>
      <c r="C51" s="28" t="str">
        <v>Sarah Thomas</v>
      </c>
      <c r="D51" s="28">
        <v>1989</v>
      </c>
      <c r="E51" s="28" t="str">
        <v>F</v>
      </c>
      <c r="F51" s="28" t="str">
        <v>Active</v>
      </c>
      <c r="G51" s="33"/>
      <c r="H51" s="28"/>
      <c r="I51" s="28"/>
      <c r="J51" s="28"/>
      <c r="K51" s="28"/>
      <c r="L51" s="28"/>
      <c r="M51" s="33"/>
      <c r="N51" s="28"/>
      <c r="O51" s="28"/>
      <c r="P51" s="28"/>
      <c r="Q51" s="28"/>
      <c r="R51" s="28"/>
    </row>
    <row r="52" spans="1:18">
      <c r="B52" s="28"/>
      <c r="C52" s="28" t="str">
        <v>Mathis Leroux</v>
      </c>
      <c r="D52" s="28">
        <v>1984</v>
      </c>
      <c r="E52" s="28" t="str">
        <v>M</v>
      </c>
      <c r="F52" s="28" t="str">
        <v>Sick Leave</v>
      </c>
      <c r="G52" s="33"/>
      <c r="H52" s="28"/>
      <c r="I52" s="28"/>
      <c r="J52" s="28"/>
      <c r="K52" s="28"/>
      <c r="L52" s="28"/>
      <c r="M52" s="33"/>
      <c r="N52" s="28"/>
      <c r="O52" s="28"/>
      <c r="P52" s="28"/>
      <c r="Q52" s="28"/>
      <c r="R52" s="28"/>
    </row>
    <row r="53" spans="1:18">
      <c r="B53" s="28"/>
      <c r="C53" s="28" t="str">
        <v>Inès Martinez</v>
      </c>
      <c r="D53" s="28">
        <v>1998</v>
      </c>
      <c r="E53" s="28" t="str">
        <v>F</v>
      </c>
      <c r="F53" s="28" t="str">
        <v>Active</v>
      </c>
      <c r="G53" s="33"/>
      <c r="H53" s="28"/>
      <c r="I53" s="28"/>
      <c r="J53" s="28"/>
      <c r="K53" s="28"/>
      <c r="L53" s="28"/>
      <c r="M53" s="33"/>
      <c r="N53" s="28"/>
      <c r="O53" s="28"/>
      <c r="P53" s="28"/>
      <c r="Q53" s="28"/>
      <c r="R53" s="28"/>
    </row>
    <row r="54" spans="1:18">
      <c r="B54" s="28"/>
      <c r="C54" s="28" t="str">
        <v>Ethan Gauthier</v>
      </c>
      <c r="D54" s="28">
        <v>2000</v>
      </c>
      <c r="E54" s="28" t="str">
        <v>M</v>
      </c>
      <c r="F54" s="28" t="str">
        <v>Active</v>
      </c>
      <c r="G54" s="33"/>
      <c r="H54" s="28"/>
      <c r="I54" s="28"/>
      <c r="J54" s="28"/>
      <c r="K54" s="28"/>
      <c r="L54" s="28"/>
      <c r="M54" s="33"/>
      <c r="N54" s="28"/>
      <c r="O54" s="28"/>
      <c r="P54" s="28"/>
      <c r="Q54" s="28"/>
      <c r="R54" s="28"/>
    </row>
    <row r="55" spans="1:18">
      <c r="F55"/>
    </row>
    <row r="56" spans="1:18" s="45" customFormat="1" ht="68.25" customHeight="1">
      <c r="A56" s="110"/>
      <c r="C56" s="112" t="str" cm="1">
        <f t="array" ref="C56">Translatefct(10,0)</f>
        <v>FILTER</v>
      </c>
      <c r="D56" s="111"/>
      <c r="F56" s="118" t="str" cm="1">
        <f t="array" ref="F56">TranslateMe(244)</f>
        <v>within a table</v>
      </c>
    </row>
    <row r="57" spans="1:18" ht="15.75">
      <c r="B57" s="127" t="s">
        <v>671</v>
      </c>
      <c r="C57" s="127" t="s">
        <v>665</v>
      </c>
      <c r="D57" s="127" t="s">
        <v>878</v>
      </c>
      <c r="E57" s="127" t="s">
        <v>677</v>
      </c>
      <c r="F57" s="127" t="s">
        <v>675</v>
      </c>
      <c r="G57" s="127" t="s">
        <v>879</v>
      </c>
      <c r="H57" s="127" t="s">
        <v>880</v>
      </c>
      <c r="J57" s="72" t="str" cm="1">
        <f t="array" ref="J57">TranslateMe(217)</f>
        <v>FILTER WITH 1 CONDITION</v>
      </c>
      <c r="K57" s="72"/>
      <c r="L57" s="72"/>
      <c r="M57" s="72"/>
      <c r="N57" s="72"/>
      <c r="O57" s="72"/>
      <c r="P57" s="72"/>
    </row>
    <row r="58" spans="1:18" ht="18.75">
      <c r="B58" s="88" t="s">
        <v>883</v>
      </c>
      <c r="C58" s="89" t="s">
        <v>884</v>
      </c>
      <c r="D58" s="93">
        <v>5000</v>
      </c>
      <c r="E58" s="91">
        <v>1996</v>
      </c>
      <c r="F58" s="92" t="s">
        <v>885</v>
      </c>
      <c r="G58" s="90" t="s">
        <v>886</v>
      </c>
      <c r="H58" s="90" t="s">
        <v>487</v>
      </c>
      <c r="J58" s="24" t="str">
        <f ca="1">_xlfn.FORMULATEXT(J59)</f>
        <v>=FILTRE(tbl_filtre;tbl_filtre[Department]="Sales";NotFound)</v>
      </c>
    </row>
    <row r="59" spans="1:18" ht="15.75">
      <c r="B59" s="88" t="s">
        <v>888</v>
      </c>
      <c r="C59" s="89" t="s">
        <v>889</v>
      </c>
      <c r="D59" s="93">
        <v>5200</v>
      </c>
      <c r="E59" s="91">
        <v>2001</v>
      </c>
      <c r="F59" s="92" t="s">
        <v>890</v>
      </c>
      <c r="G59" s="90" t="s">
        <v>891</v>
      </c>
      <c r="H59" s="90" t="s">
        <v>487</v>
      </c>
      <c r="J59" t="str" cm="1">
        <f t="array" ref="J59:P65">_xlfn._xlws.FILTER(tbl_filtre[],tbl_filtre[Department]="Sales",NotFound)</f>
        <v>Sales</v>
      </c>
      <c r="K59" t="str">
        <v>Manon Lambert</v>
      </c>
      <c r="L59">
        <v>8500</v>
      </c>
      <c r="M59">
        <v>1998</v>
      </c>
      <c r="N59" t="str">
        <v>F</v>
      </c>
      <c r="O59" t="str">
        <v>Berne</v>
      </c>
      <c r="P59" t="str">
        <v>Active</v>
      </c>
    </row>
    <row r="60" spans="1:18" ht="15.75">
      <c r="B60" s="88" t="s">
        <v>893</v>
      </c>
      <c r="C60" s="89" t="s">
        <v>894</v>
      </c>
      <c r="D60" s="93">
        <v>8500</v>
      </c>
      <c r="E60" s="91">
        <v>1998</v>
      </c>
      <c r="F60" s="92" t="s">
        <v>885</v>
      </c>
      <c r="G60" s="90" t="s">
        <v>895</v>
      </c>
      <c r="H60" s="90" t="s">
        <v>473</v>
      </c>
      <c r="J60" t="str">
        <v>Sales</v>
      </c>
      <c r="K60" t="str">
        <v>Hugo Dupont</v>
      </c>
      <c r="L60">
        <v>9800</v>
      </c>
      <c r="M60">
        <v>1965</v>
      </c>
      <c r="N60" t="str">
        <v>M</v>
      </c>
      <c r="O60" t="str">
        <v>Geneva</v>
      </c>
      <c r="P60" t="str">
        <v>Active</v>
      </c>
    </row>
    <row r="61" spans="1:18" ht="15.75">
      <c r="B61" s="88" t="s">
        <v>893</v>
      </c>
      <c r="C61" s="89" t="s">
        <v>896</v>
      </c>
      <c r="D61" s="93">
        <v>9800</v>
      </c>
      <c r="E61" s="91">
        <v>1965</v>
      </c>
      <c r="F61" s="92" t="s">
        <v>890</v>
      </c>
      <c r="G61" s="90" t="s">
        <v>891</v>
      </c>
      <c r="H61" s="90" t="s">
        <v>473</v>
      </c>
      <c r="J61" t="str">
        <v>Sales</v>
      </c>
      <c r="K61" t="str">
        <v>Louis Chevalier</v>
      </c>
      <c r="L61">
        <v>10600</v>
      </c>
      <c r="M61">
        <v>1979</v>
      </c>
      <c r="N61" t="str">
        <v>M</v>
      </c>
      <c r="O61" t="str">
        <v>Berne</v>
      </c>
      <c r="P61" t="str">
        <v>Active</v>
      </c>
    </row>
    <row r="62" spans="1:18" ht="15.75">
      <c r="B62" s="88" t="s">
        <v>883</v>
      </c>
      <c r="C62" s="89" t="s">
        <v>897</v>
      </c>
      <c r="D62" s="93">
        <v>7300</v>
      </c>
      <c r="E62" s="91">
        <v>1987</v>
      </c>
      <c r="F62" s="92" t="s">
        <v>885</v>
      </c>
      <c r="G62" s="90" t="s">
        <v>891</v>
      </c>
      <c r="H62" s="90" t="s">
        <v>473</v>
      </c>
      <c r="J62" t="str">
        <v>Sales</v>
      </c>
      <c r="K62" t="str">
        <v>Chloé Lefebvre</v>
      </c>
      <c r="L62">
        <v>9100</v>
      </c>
      <c r="M62">
        <v>2003</v>
      </c>
      <c r="N62" t="str">
        <v>F</v>
      </c>
      <c r="O62" t="str">
        <v>Zurich</v>
      </c>
      <c r="P62" t="str">
        <v>Maternity leave</v>
      </c>
    </row>
    <row r="63" spans="1:18" ht="15.75">
      <c r="B63" s="88" t="s">
        <v>893</v>
      </c>
      <c r="C63" s="89" t="s">
        <v>898</v>
      </c>
      <c r="D63" s="93">
        <v>10600</v>
      </c>
      <c r="E63" s="91">
        <v>1979</v>
      </c>
      <c r="F63" s="92" t="s">
        <v>890</v>
      </c>
      <c r="G63" s="90" t="s">
        <v>895</v>
      </c>
      <c r="H63" s="90" t="s">
        <v>473</v>
      </c>
      <c r="J63" t="str">
        <v>Sales</v>
      </c>
      <c r="K63" t="str">
        <v>Clara Mercier</v>
      </c>
      <c r="L63">
        <v>7800</v>
      </c>
      <c r="M63">
        <v>1995</v>
      </c>
      <c r="N63" t="str">
        <v>F</v>
      </c>
      <c r="O63" t="str">
        <v>Geneva</v>
      </c>
      <c r="P63" t="str">
        <v>Active</v>
      </c>
    </row>
    <row r="64" spans="1:18" ht="15.75">
      <c r="B64" s="88" t="s">
        <v>883</v>
      </c>
      <c r="C64" s="89" t="s">
        <v>899</v>
      </c>
      <c r="D64" s="93">
        <v>4900</v>
      </c>
      <c r="E64" s="91">
        <v>1996</v>
      </c>
      <c r="F64" s="92" t="s">
        <v>900</v>
      </c>
      <c r="G64" s="90" t="s">
        <v>891</v>
      </c>
      <c r="H64" s="90" t="s">
        <v>473</v>
      </c>
      <c r="J64" t="str">
        <v>Sales</v>
      </c>
      <c r="K64" t="str">
        <v>Zoé Girard</v>
      </c>
      <c r="L64">
        <v>6500</v>
      </c>
      <c r="M64">
        <v>1984</v>
      </c>
      <c r="N64" t="str">
        <v>F</v>
      </c>
      <c r="O64" t="str">
        <v>Geneva</v>
      </c>
      <c r="P64" t="str">
        <v>Active</v>
      </c>
    </row>
    <row r="65" spans="2:18" ht="15.75">
      <c r="B65" s="88" t="s">
        <v>883</v>
      </c>
      <c r="C65" s="89" t="s">
        <v>901</v>
      </c>
      <c r="D65" s="93">
        <v>11750</v>
      </c>
      <c r="E65" s="91">
        <v>2005</v>
      </c>
      <c r="F65" s="92" t="s">
        <v>885</v>
      </c>
      <c r="G65" s="90" t="s">
        <v>886</v>
      </c>
      <c r="H65" s="90" t="s">
        <v>473</v>
      </c>
      <c r="J65" t="str">
        <v>Sales</v>
      </c>
      <c r="K65" t="str">
        <v>Gabriel Petit</v>
      </c>
      <c r="L65">
        <v>11000</v>
      </c>
      <c r="M65">
        <v>1966</v>
      </c>
      <c r="N65" t="str">
        <v>M</v>
      </c>
      <c r="O65" t="str">
        <v>Geneva</v>
      </c>
      <c r="P65" t="str">
        <v>Pre-retirement</v>
      </c>
    </row>
    <row r="66" spans="2:18" ht="15.75">
      <c r="B66" s="88" t="s">
        <v>893</v>
      </c>
      <c r="C66" s="89" t="s">
        <v>902</v>
      </c>
      <c r="D66" s="93">
        <v>9100</v>
      </c>
      <c r="E66" s="91">
        <v>2003</v>
      </c>
      <c r="F66" s="92" t="s">
        <v>885</v>
      </c>
      <c r="G66" s="90" t="s">
        <v>886</v>
      </c>
      <c r="H66" s="90" t="s">
        <v>478</v>
      </c>
    </row>
    <row r="67" spans="2:18" ht="15.75">
      <c r="B67" s="88" t="s">
        <v>888</v>
      </c>
      <c r="C67" s="89" t="s">
        <v>903</v>
      </c>
      <c r="D67" s="93">
        <v>12300</v>
      </c>
      <c r="E67" s="91">
        <v>2001</v>
      </c>
      <c r="F67" s="92" t="s">
        <v>890</v>
      </c>
      <c r="G67" s="90" t="s">
        <v>891</v>
      </c>
      <c r="H67" s="90" t="s">
        <v>473</v>
      </c>
    </row>
    <row r="68" spans="2:18" ht="15.75">
      <c r="B68" s="88" t="s">
        <v>893</v>
      </c>
      <c r="C68" s="89" t="s">
        <v>904</v>
      </c>
      <c r="D68" s="93">
        <v>7800</v>
      </c>
      <c r="E68" s="91">
        <v>1995</v>
      </c>
      <c r="F68" s="92" t="s">
        <v>885</v>
      </c>
      <c r="G68" s="90" t="s">
        <v>891</v>
      </c>
      <c r="H68" s="90" t="s">
        <v>473</v>
      </c>
    </row>
    <row r="69" spans="2:18" ht="15.75">
      <c r="B69" s="88" t="s">
        <v>888</v>
      </c>
      <c r="C69" s="89" t="s">
        <v>905</v>
      </c>
      <c r="D69" s="93">
        <v>10200</v>
      </c>
      <c r="E69" s="91">
        <v>1990</v>
      </c>
      <c r="F69" s="92" t="s">
        <v>890</v>
      </c>
      <c r="G69" s="90" t="s">
        <v>895</v>
      </c>
      <c r="H69" s="90" t="s">
        <v>473</v>
      </c>
      <c r="J69" s="72" t="str" cm="1">
        <f t="array" ref="J69">TranslateMe(242)</f>
        <v>FILTER WITH WILDCARD</v>
      </c>
      <c r="K69" s="72"/>
      <c r="L69" s="72"/>
      <c r="M69" s="72"/>
      <c r="N69" s="72"/>
      <c r="O69" s="72"/>
      <c r="P69" s="72"/>
      <c r="Q69" s="72"/>
      <c r="R69" s="72"/>
    </row>
    <row r="70" spans="2:18" ht="15.75">
      <c r="B70" s="88" t="s">
        <v>893</v>
      </c>
      <c r="C70" s="89" t="s">
        <v>906</v>
      </c>
      <c r="D70" s="93">
        <v>6500</v>
      </c>
      <c r="E70" s="91">
        <v>1984</v>
      </c>
      <c r="F70" s="92" t="s">
        <v>885</v>
      </c>
      <c r="G70" s="90" t="s">
        <v>891</v>
      </c>
      <c r="H70" s="90" t="s">
        <v>473</v>
      </c>
      <c r="J70" t="str" cm="1">
        <f t="array" ref="J70">TranslateMe(243)</f>
        <v>Value to look for (in name)</v>
      </c>
      <c r="L70" s="128" t="s">
        <v>915</v>
      </c>
    </row>
    <row r="71" spans="2:18" ht="18.75">
      <c r="B71" s="88" t="s">
        <v>893</v>
      </c>
      <c r="C71" s="89" t="s">
        <v>907</v>
      </c>
      <c r="D71" s="93">
        <v>11000</v>
      </c>
      <c r="E71" s="91">
        <v>1966</v>
      </c>
      <c r="F71" s="92" t="s">
        <v>890</v>
      </c>
      <c r="G71" s="90" t="s">
        <v>891</v>
      </c>
      <c r="H71" s="90" t="s">
        <v>484</v>
      </c>
      <c r="J71" s="24" t="str">
        <f ca="1">_xlfn.FORMULATEXT(J72)</f>
        <v>=ESTNUM(CHERCHE($L$70;tbl_filtre[Employee]))</v>
      </c>
    </row>
    <row r="72" spans="2:18" ht="15.75">
      <c r="B72" s="88" t="s">
        <v>883</v>
      </c>
      <c r="C72" s="89" t="s">
        <v>908</v>
      </c>
      <c r="D72" s="93">
        <v>8900</v>
      </c>
      <c r="E72" s="91">
        <v>1961</v>
      </c>
      <c r="F72" s="92" t="s">
        <v>885</v>
      </c>
      <c r="G72" s="90" t="s">
        <v>891</v>
      </c>
      <c r="H72" s="90" t="s">
        <v>493</v>
      </c>
      <c r="J72" t="b" cm="1">
        <f t="array" ref="J72:J91">ISNUMBER(SEARCH($L$70,tbl_filtre[Employee]))</f>
        <v>0</v>
      </c>
    </row>
    <row r="73" spans="2:18" ht="18.75">
      <c r="B73" s="88" t="s">
        <v>883</v>
      </c>
      <c r="C73" s="89" t="s">
        <v>909</v>
      </c>
      <c r="D73" s="93">
        <v>13450</v>
      </c>
      <c r="E73" s="91">
        <v>1974</v>
      </c>
      <c r="F73" s="92" t="s">
        <v>890</v>
      </c>
      <c r="G73" s="90" t="s">
        <v>910</v>
      </c>
      <c r="H73" s="90" t="s">
        <v>473</v>
      </c>
      <c r="J73" t="b">
        <v>1</v>
      </c>
      <c r="L73" s="24" t="str">
        <f ca="1">_xlfn.FORMULATEXT(L74)</f>
        <v>=FILTRE(tbl_filtre;J72#;NotFound)</v>
      </c>
    </row>
    <row r="74" spans="2:18" ht="15.75">
      <c r="B74" s="88" t="s">
        <v>883</v>
      </c>
      <c r="C74" s="89" t="s">
        <v>911</v>
      </c>
      <c r="D74" s="93">
        <v>13600</v>
      </c>
      <c r="E74" s="91">
        <v>1989</v>
      </c>
      <c r="F74" s="92" t="s">
        <v>885</v>
      </c>
      <c r="G74" s="90" t="s">
        <v>910</v>
      </c>
      <c r="H74" s="90" t="s">
        <v>473</v>
      </c>
      <c r="J74" t="b">
        <v>1</v>
      </c>
      <c r="L74" t="str" cm="1">
        <f t="array" ref="L74:R81">_xlfn._xlws.FILTER(tbl_filtre[],_xlfn.ANCHORARRAY(J72),NotFound)</f>
        <v>Marketing</v>
      </c>
      <c r="M74" t="str">
        <v>Lucas Martin</v>
      </c>
      <c r="N74">
        <v>5200</v>
      </c>
      <c r="O74">
        <v>2001</v>
      </c>
      <c r="P74" t="str">
        <v>M</v>
      </c>
      <c r="Q74" t="str">
        <v>Geneva</v>
      </c>
      <c r="R74" t="str">
        <v>Training</v>
      </c>
    </row>
    <row r="75" spans="2:18" ht="15.75">
      <c r="B75" s="88" t="s">
        <v>888</v>
      </c>
      <c r="C75" s="89" t="s">
        <v>912</v>
      </c>
      <c r="D75" s="93">
        <v>6800</v>
      </c>
      <c r="E75" s="91">
        <v>1984</v>
      </c>
      <c r="F75" s="92" t="s">
        <v>890</v>
      </c>
      <c r="G75" s="90" t="s">
        <v>910</v>
      </c>
      <c r="H75" s="90" t="s">
        <v>490</v>
      </c>
      <c r="J75" t="b">
        <v>0</v>
      </c>
      <c r="L75" t="str">
        <v>Sales</v>
      </c>
      <c r="M75" t="str">
        <v>Manon Lambert</v>
      </c>
      <c r="N75">
        <v>8500</v>
      </c>
      <c r="O75">
        <v>1998</v>
      </c>
      <c r="P75" t="str">
        <v>F</v>
      </c>
      <c r="Q75" t="str">
        <v>Berne</v>
      </c>
      <c r="R75" t="str">
        <v>Active</v>
      </c>
    </row>
    <row r="76" spans="2:18" ht="15.75">
      <c r="B76" s="88" t="s">
        <v>888</v>
      </c>
      <c r="C76" s="89" t="s">
        <v>913</v>
      </c>
      <c r="D76" s="93">
        <v>10300</v>
      </c>
      <c r="E76" s="91">
        <v>1998</v>
      </c>
      <c r="F76" s="92" t="s">
        <v>885</v>
      </c>
      <c r="G76" s="90" t="s">
        <v>891</v>
      </c>
      <c r="H76" s="90" t="s">
        <v>473</v>
      </c>
      <c r="J76" t="b">
        <v>1</v>
      </c>
      <c r="L76" t="str">
        <v>Finance</v>
      </c>
      <c r="M76" t="str">
        <v>Emma Garcia</v>
      </c>
      <c r="N76">
        <v>7300</v>
      </c>
      <c r="O76">
        <v>1987</v>
      </c>
      <c r="P76" t="str">
        <v>F</v>
      </c>
      <c r="Q76" t="str">
        <v>Geneva</v>
      </c>
      <c r="R76" t="str">
        <v>Active</v>
      </c>
    </row>
    <row r="77" spans="2:18" ht="15.75">
      <c r="B77" s="88" t="s">
        <v>883</v>
      </c>
      <c r="C77" s="89" t="s">
        <v>916</v>
      </c>
      <c r="D77" s="93">
        <v>7500</v>
      </c>
      <c r="E77" s="91">
        <v>2000</v>
      </c>
      <c r="F77" s="92" t="s">
        <v>890</v>
      </c>
      <c r="G77" s="90" t="s">
        <v>886</v>
      </c>
      <c r="H77" s="90" t="s">
        <v>473</v>
      </c>
      <c r="J77" t="b">
        <v>0</v>
      </c>
      <c r="L77" t="str">
        <v>Finance</v>
      </c>
      <c r="M77" t="str">
        <v>Maxime Robin</v>
      </c>
      <c r="N77">
        <v>13450</v>
      </c>
      <c r="O77">
        <v>1974</v>
      </c>
      <c r="P77" t="str">
        <v>M</v>
      </c>
      <c r="Q77" t="str">
        <v>Lausanne</v>
      </c>
      <c r="R77" t="str">
        <v>Active</v>
      </c>
    </row>
    <row r="78" spans="2:18">
      <c r="J78" t="b">
        <v>0</v>
      </c>
      <c r="L78" t="str">
        <v>Finance</v>
      </c>
      <c r="M78" t="str">
        <v>Sarah Thomas</v>
      </c>
      <c r="N78">
        <v>13600</v>
      </c>
      <c r="O78">
        <v>1989</v>
      </c>
      <c r="P78" t="str">
        <v>F</v>
      </c>
      <c r="Q78" t="str">
        <v>Lausanne</v>
      </c>
      <c r="R78" t="str">
        <v>Active</v>
      </c>
    </row>
    <row r="79" spans="2:18">
      <c r="J79" t="b">
        <v>0</v>
      </c>
      <c r="L79" t="str">
        <v>Marketing</v>
      </c>
      <c r="M79" t="str">
        <v>Mathis Leroux</v>
      </c>
      <c r="N79">
        <v>6800</v>
      </c>
      <c r="O79">
        <v>1984</v>
      </c>
      <c r="P79" t="str">
        <v>M</v>
      </c>
      <c r="Q79" t="str">
        <v>Lausanne</v>
      </c>
      <c r="R79" t="str">
        <v>Sick Leave</v>
      </c>
    </row>
    <row r="80" spans="2:18">
      <c r="J80" t="b">
        <v>0</v>
      </c>
      <c r="L80" t="str">
        <v>Marketing</v>
      </c>
      <c r="M80" t="str">
        <v>Inès Martinez</v>
      </c>
      <c r="N80">
        <v>10300</v>
      </c>
      <c r="O80">
        <v>1998</v>
      </c>
      <c r="P80" t="str">
        <v>F</v>
      </c>
      <c r="Q80" t="str">
        <v>Geneva</v>
      </c>
      <c r="R80" t="str">
        <v>Active</v>
      </c>
    </row>
    <row r="81" spans="2:18">
      <c r="J81" t="b">
        <v>0</v>
      </c>
      <c r="L81" t="str">
        <v>Finance</v>
      </c>
      <c r="M81" t="str">
        <v>Emma Gauthier</v>
      </c>
      <c r="N81">
        <v>7500</v>
      </c>
      <c r="O81">
        <v>2000</v>
      </c>
      <c r="P81" t="str">
        <v>M</v>
      </c>
      <c r="Q81" t="str">
        <v>Zurich</v>
      </c>
      <c r="R81" t="str">
        <v>Active</v>
      </c>
    </row>
    <row r="82" spans="2:18">
      <c r="J82" t="b">
        <v>0</v>
      </c>
    </row>
    <row r="83" spans="2:18">
      <c r="J83" t="b">
        <v>0</v>
      </c>
    </row>
    <row r="84" spans="2:18">
      <c r="J84" t="b">
        <v>0</v>
      </c>
    </row>
    <row r="85" spans="2:18">
      <c r="J85" t="b">
        <v>0</v>
      </c>
    </row>
    <row r="86" spans="2:18">
      <c r="B86" s="72" t="str" cm="1">
        <f t="array" ref="B86">TranslateMe(245)</f>
        <v>FILTER AND CHOOSE COLUMNS</v>
      </c>
      <c r="C86" s="72"/>
      <c r="D86" s="72"/>
      <c r="E86" s="72"/>
      <c r="F86" s="72"/>
      <c r="G86" s="72"/>
      <c r="H86" s="72"/>
      <c r="J86" t="b">
        <v>0</v>
      </c>
    </row>
    <row r="87" spans="2:18" ht="18.75">
      <c r="B87" s="24" t="str">
        <f ca="1">_xlfn.FORMULATEXT(B88)</f>
        <v>=FILTRE(CHOISIRCOLS(tbl_filtre;1;2;4;5);tbl_filtre[City]="Geneva";NotFound)</v>
      </c>
      <c r="J87" t="b">
        <v>1</v>
      </c>
    </row>
    <row r="88" spans="2:18">
      <c r="B88" t="str" cm="1">
        <f t="array" ref="B88:E97">_xlfn._xlws.FILTER(_xlfn.CHOOSECOLS(tbl_filtre[],1,2,4,5),tbl_filtre[City]="Geneva",NotFound)</f>
        <v>Marketing</v>
      </c>
      <c r="C88" t="str">
        <v>Lucas Martin</v>
      </c>
      <c r="D88">
        <v>2001</v>
      </c>
      <c r="E88" t="str">
        <v>M</v>
      </c>
      <c r="J88" t="b">
        <v>1</v>
      </c>
    </row>
    <row r="89" spans="2:18">
      <c r="B89" t="str">
        <v>Sales</v>
      </c>
      <c r="C89" t="str">
        <v>Hugo Dupont</v>
      </c>
      <c r="D89">
        <v>1965</v>
      </c>
      <c r="E89" t="str">
        <v>M</v>
      </c>
      <c r="J89" t="b">
        <v>1</v>
      </c>
    </row>
    <row r="90" spans="2:18">
      <c r="B90" t="str">
        <v>Finance</v>
      </c>
      <c r="C90" t="str">
        <v>Emma Garcia</v>
      </c>
      <c r="D90">
        <v>1987</v>
      </c>
      <c r="E90" t="str">
        <v>F</v>
      </c>
      <c r="J90" t="b">
        <v>1</v>
      </c>
    </row>
    <row r="91" spans="2:18">
      <c r="B91" t="str">
        <v>Finance</v>
      </c>
      <c r="C91" t="str">
        <v>Léa Rousseau</v>
      </c>
      <c r="D91">
        <v>1996</v>
      </c>
      <c r="E91" t="str">
        <v>ND</v>
      </c>
      <c r="J91" t="b">
        <v>1</v>
      </c>
    </row>
    <row r="92" spans="2:18">
      <c r="B92" t="str">
        <v>Marketing</v>
      </c>
      <c r="C92" t="str">
        <v>Enzo Moreau</v>
      </c>
      <c r="D92">
        <v>2001</v>
      </c>
      <c r="E92" t="str">
        <v>M</v>
      </c>
    </row>
    <row r="93" spans="2:18">
      <c r="B93" t="str">
        <v>Sales</v>
      </c>
      <c r="C93" t="str">
        <v>Clara Mercier</v>
      </c>
      <c r="D93">
        <v>1995</v>
      </c>
      <c r="E93" t="str">
        <v>F</v>
      </c>
    </row>
    <row r="94" spans="2:18">
      <c r="B94" t="str">
        <v>Sales</v>
      </c>
      <c r="C94" t="str">
        <v>Zoé Girard</v>
      </c>
      <c r="D94">
        <v>1984</v>
      </c>
      <c r="E94" t="str">
        <v>F</v>
      </c>
    </row>
    <row r="95" spans="2:18">
      <c r="B95" t="str">
        <v>Sales</v>
      </c>
      <c r="C95" t="str">
        <v>Gabriel Petit</v>
      </c>
      <c r="D95">
        <v>1966</v>
      </c>
      <c r="E95" t="str">
        <v>M</v>
      </c>
    </row>
    <row r="96" spans="2:18">
      <c r="B96" t="str">
        <v>Finance</v>
      </c>
      <c r="C96" t="str">
        <v>Jade Simon</v>
      </c>
      <c r="D96">
        <v>1961</v>
      </c>
      <c r="E96" t="str">
        <v>F</v>
      </c>
    </row>
    <row r="97" spans="2:6">
      <c r="B97" t="str">
        <v>Marketing</v>
      </c>
      <c r="C97" t="str">
        <v>Inès Martinez</v>
      </c>
      <c r="D97">
        <v>1998</v>
      </c>
      <c r="E97" t="str">
        <v>F</v>
      </c>
    </row>
    <row r="102" spans="2:6">
      <c r="F102"/>
    </row>
    <row r="103" spans="2:6">
      <c r="F103"/>
    </row>
    <row r="104" spans="2:6">
      <c r="F104"/>
    </row>
    <row r="105" spans="2:6">
      <c r="F105"/>
    </row>
    <row r="106" spans="2:6">
      <c r="F106"/>
    </row>
    <row r="107" spans="2:6">
      <c r="F107"/>
    </row>
    <row r="108" spans="2:6">
      <c r="F108"/>
    </row>
    <row r="109" spans="2:6">
      <c r="F109"/>
    </row>
    <row r="110" spans="2:6">
      <c r="F110"/>
    </row>
    <row r="111" spans="2:6">
      <c r="F111"/>
    </row>
    <row r="112" spans="2:6">
      <c r="F112"/>
    </row>
    <row r="113" spans="6:6">
      <c r="F113"/>
    </row>
    <row r="114" spans="6:6">
      <c r="F114"/>
    </row>
    <row r="115" spans="6:6">
      <c r="F115"/>
    </row>
    <row r="116" spans="6:6">
      <c r="F116"/>
    </row>
    <row r="117" spans="6:6">
      <c r="F117"/>
    </row>
    <row r="118" spans="6:6">
      <c r="F118"/>
    </row>
    <row r="119" spans="6:6">
      <c r="F119"/>
    </row>
    <row r="120" spans="6:6">
      <c r="F120"/>
    </row>
    <row r="121" spans="6:6">
      <c r="F121"/>
    </row>
    <row r="122" spans="6:6">
      <c r="F122"/>
    </row>
    <row r="123" spans="6:6">
      <c r="F123"/>
    </row>
    <row r="124" spans="6:6">
      <c r="F124"/>
    </row>
  </sheetData>
  <autoFilter ref="B3:H23" xr:uid="{1B988F57-E4B3-4829-B981-974FCA021638}"/>
  <dataValidations disablePrompts="1" xWindow="539" yWindow="786" count="2">
    <dataValidation type="list" allowBlank="1" showInputMessage="1" showErrorMessage="1" sqref="H4:H23 H58:H77" xr:uid="{7A7B5DD2-DEA0-4BA0-8981-E98425817144}">
      <formula1>statusList</formula1>
    </dataValidation>
    <dataValidation type="list" allowBlank="1" showInputMessage="1" showErrorMessage="1" sqref="G4:G23 G58:G77" xr:uid="{67D25665-983D-4190-9AE2-EE9063757D0A}">
      <formula1>"Berne,Geneva,Lausanne,Zurich"</formula1>
    </dataValidation>
  </dataValidations>
  <hyperlinks>
    <hyperlink ref="A1" location="MENU!A1" display="MENU!A1" xr:uid="{B3BC15DB-BC31-46D5-B31E-35366C5754A5}"/>
  </hyperlinks>
  <pageMargins left="0.7" right="0.7" top="0.75" bottom="0.75"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disablePrompts="1" xWindow="539" yWindow="786" count="1">
        <x14:dataValidation type="list" allowBlank="1" showInputMessage="1" showErrorMessage="1" xr:uid="{8768B5D4-4430-47B0-B04C-FACC58A20ACB}">
          <x14:formula1>
            <xm:f>_xlfn.ANCHORARRAY(MENU!$B$52)</xm:f>
          </x14:formula1>
          <xm:sqref>K3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395D4-6C8A-4AA0-BD00-3A866F00330D}">
  <sheetPr codeName="Sheet3">
    <tabColor theme="7"/>
  </sheetPr>
  <dimension ref="A1:Q47"/>
  <sheetViews>
    <sheetView workbookViewId="0">
      <selection activeCell="J5" sqref="J5"/>
    </sheetView>
  </sheetViews>
  <sheetFormatPr defaultColWidth="11.42578125" defaultRowHeight="15"/>
  <cols>
    <col min="2" max="2" width="15.85546875" bestFit="1" customWidth="1"/>
    <col min="3" max="3" width="20.7109375" customWidth="1"/>
    <col min="4" max="4" width="15.28515625" customWidth="1"/>
    <col min="6" max="6" width="13.5703125" customWidth="1"/>
    <col min="7" max="7" width="15" customWidth="1"/>
    <col min="8" max="8" width="11.42578125" customWidth="1"/>
    <col min="9" max="9" width="21.42578125" customWidth="1"/>
    <col min="11" max="11" width="15.140625" bestFit="1" customWidth="1"/>
    <col min="15" max="15" width="9" customWidth="1"/>
    <col min="16" max="16" width="15.5703125" customWidth="1"/>
    <col min="17" max="17" width="22.42578125" customWidth="1"/>
  </cols>
  <sheetData>
    <row r="1" spans="1:17" s="45" customFormat="1" ht="68.25" customHeight="1">
      <c r="A1" s="110" t="e" vm="2">
        <v>#VALUE!</v>
      </c>
      <c r="B1" s="45" t="e" vm="3">
        <v>#VALUE!</v>
      </c>
      <c r="D1" s="111"/>
      <c r="E1" s="112" t="str" cm="1">
        <f t="array" ref="E1">Translatefct(20,0)</f>
        <v>SORT</v>
      </c>
      <c r="F1" s="112"/>
      <c r="J1" s="112" t="str" cm="1">
        <f t="array" ref="J1">Translatefct(30,0)</f>
        <v>SORTBY</v>
      </c>
    </row>
    <row r="2" spans="1:17" s="103" customFormat="1" ht="18.75">
      <c r="E2" s="103" t="str" cm="1">
        <f t="array" ref="E2">Translatefct(20,1)</f>
        <v>Sorts the contents of an array or range.</v>
      </c>
      <c r="J2" s="103" t="str" cm="1">
        <f t="array" ref="J2">Translatefct(30,1)</f>
        <v>Sorts an array based on the values in a corresponding array.</v>
      </c>
    </row>
    <row r="3" spans="1:17" ht="15.75">
      <c r="B3" s="113" t="str" cm="1">
        <f t="array" ref="B3">txt_dpt</f>
        <v>Department</v>
      </c>
      <c r="C3" s="113" t="str" cm="1">
        <f t="array" ref="C3">txt_Employe</f>
        <v>Employee</v>
      </c>
      <c r="D3" s="113" t="str" cm="1">
        <f t="array" ref="D3">txt_salaire</f>
        <v>Salary</v>
      </c>
      <c r="F3" s="113" t="str" cm="1">
        <f t="array" ref="F3">TranslateMe(225)</f>
        <v>Sort a Table on salary ASC</v>
      </c>
      <c r="G3" s="113"/>
      <c r="H3" s="113"/>
      <c r="J3" s="113" t="str" cm="1">
        <f t="array" ref="J3">TranslateMe(226)</f>
        <v>Multi-column sort</v>
      </c>
      <c r="K3" s="113"/>
      <c r="L3" s="113"/>
    </row>
    <row r="4" spans="1:17" ht="15.75" customHeight="1">
      <c r="B4" t="s">
        <v>883</v>
      </c>
      <c r="C4" s="1" t="s">
        <v>884</v>
      </c>
      <c r="D4" s="2">
        <v>5000</v>
      </c>
      <c r="F4" s="24" t="str">
        <f ca="1">_xlfn.FORMULATEXT(F5)</f>
        <v>=TRIER(B4:D23;3;1)</v>
      </c>
      <c r="J4" s="24" t="str">
        <f ca="1">_xlfn.FORMULATEXT(J5)</f>
        <v>=TRIERPAR(F5#;F5:F24;1;G5:G24;1)</v>
      </c>
    </row>
    <row r="5" spans="1:17" ht="22.5" customHeight="1">
      <c r="B5" t="s">
        <v>888</v>
      </c>
      <c r="C5" s="1" t="s">
        <v>889</v>
      </c>
      <c r="D5" s="2">
        <v>6200</v>
      </c>
      <c r="F5" s="76" t="str" cm="1">
        <f t="array" ref="F5:H24">_xlfn._xlws.SORT(B4:D23,3,1)</f>
        <v>Finance</v>
      </c>
      <c r="G5" s="76" t="str">
        <v>Léa Rousseau</v>
      </c>
      <c r="H5" s="76">
        <v>4900</v>
      </c>
      <c r="J5" s="76" t="str" cm="1">
        <f t="array" ref="J5:L24">_xlfn.SORTBY(_xlfn.ANCHORARRAY(F5),F5:F24,1,G5:G24,1)</f>
        <v>Finance</v>
      </c>
      <c r="K5" s="76" t="str">
        <v>Camille Dubois</v>
      </c>
      <c r="L5" s="76">
        <v>5000</v>
      </c>
      <c r="O5" t="str" cm="1">
        <f t="array" ref="O5:Q24">_xlfn.SORTBY(_xlfn.ANCHORARRAY(F5),F5:F24,1,H5:H24,-1)</f>
        <v>Finance</v>
      </c>
      <c r="P5" t="str">
        <v>Ethan Gauthier</v>
      </c>
      <c r="Q5">
        <v>17500</v>
      </c>
    </row>
    <row r="6" spans="1:17">
      <c r="B6" t="s">
        <v>917</v>
      </c>
      <c r="C6" s="1" t="s">
        <v>894</v>
      </c>
      <c r="D6" s="2">
        <v>8500</v>
      </c>
      <c r="F6" s="76" t="str">
        <v>Finance</v>
      </c>
      <c r="G6" s="76" t="str">
        <v>Camille Dubois</v>
      </c>
      <c r="H6" s="76">
        <v>5000</v>
      </c>
      <c r="J6" s="76" t="str">
        <v>Finance</v>
      </c>
      <c r="K6" s="76" t="str">
        <v>Emma Garcia</v>
      </c>
      <c r="L6" s="76">
        <v>7300</v>
      </c>
      <c r="O6" t="str">
        <v>Finance</v>
      </c>
      <c r="P6" t="str">
        <v>Maxime Robin</v>
      </c>
      <c r="Q6">
        <v>13450</v>
      </c>
    </row>
    <row r="7" spans="1:17">
      <c r="B7" t="s">
        <v>917</v>
      </c>
      <c r="C7" s="1" t="s">
        <v>896</v>
      </c>
      <c r="D7" s="2">
        <v>9800</v>
      </c>
      <c r="F7" s="76" t="str">
        <v>Marketing</v>
      </c>
      <c r="G7" s="76" t="str">
        <v>Lucas Martin</v>
      </c>
      <c r="H7" s="76">
        <v>6200</v>
      </c>
      <c r="J7" s="76" t="str">
        <v>Finance</v>
      </c>
      <c r="K7" s="76" t="str">
        <v>Ethan Gauthier</v>
      </c>
      <c r="L7" s="76">
        <v>17500</v>
      </c>
      <c r="O7" t="str">
        <v>Finance</v>
      </c>
      <c r="P7" t="str">
        <v>Nathan Leroy</v>
      </c>
      <c r="Q7">
        <v>11750</v>
      </c>
    </row>
    <row r="8" spans="1:17">
      <c r="B8" t="s">
        <v>883</v>
      </c>
      <c r="C8" s="1" t="s">
        <v>897</v>
      </c>
      <c r="D8" s="2">
        <v>7300</v>
      </c>
      <c r="F8" s="76" t="str">
        <v>Ventes</v>
      </c>
      <c r="G8" s="76" t="str">
        <v>Zoé Girard</v>
      </c>
      <c r="H8" s="76">
        <v>6500</v>
      </c>
      <c r="J8" s="76" t="str">
        <v>Finance</v>
      </c>
      <c r="K8" s="76" t="str">
        <v>Jade Simon</v>
      </c>
      <c r="L8" s="76">
        <v>8900</v>
      </c>
      <c r="O8" t="str">
        <v>Finance</v>
      </c>
      <c r="P8" t="str">
        <v>Sarah Thomas</v>
      </c>
      <c r="Q8">
        <v>11600</v>
      </c>
    </row>
    <row r="9" spans="1:17">
      <c r="B9" t="s">
        <v>917</v>
      </c>
      <c r="C9" s="1" t="s">
        <v>898</v>
      </c>
      <c r="D9" s="2">
        <v>10600</v>
      </c>
      <c r="F9" s="76" t="str">
        <v>Finance</v>
      </c>
      <c r="G9" s="76" t="str">
        <v>Emma Garcia</v>
      </c>
      <c r="H9" s="76">
        <v>7300</v>
      </c>
      <c r="J9" s="76" t="str">
        <v>Finance</v>
      </c>
      <c r="K9" s="76" t="str">
        <v>Léa Rousseau</v>
      </c>
      <c r="L9" s="76">
        <v>4900</v>
      </c>
      <c r="O9" t="str">
        <v>Finance</v>
      </c>
      <c r="P9" t="str">
        <v>Jade Simon</v>
      </c>
      <c r="Q9">
        <v>8900</v>
      </c>
    </row>
    <row r="10" spans="1:17">
      <c r="B10" t="s">
        <v>883</v>
      </c>
      <c r="C10" s="1" t="s">
        <v>899</v>
      </c>
      <c r="D10" s="2">
        <v>4900</v>
      </c>
      <c r="F10" s="76" t="str">
        <v>Ventes</v>
      </c>
      <c r="G10" s="76" t="str">
        <v>Clara Mercier</v>
      </c>
      <c r="H10" s="76">
        <v>7800</v>
      </c>
      <c r="J10" s="76" t="str">
        <v>Finance</v>
      </c>
      <c r="K10" s="76" t="str">
        <v>Maxime Robin</v>
      </c>
      <c r="L10" s="76">
        <v>13450</v>
      </c>
      <c r="O10" t="str">
        <v>Finance</v>
      </c>
      <c r="P10" t="str">
        <v>Emma Garcia</v>
      </c>
      <c r="Q10">
        <v>7300</v>
      </c>
    </row>
    <row r="11" spans="1:17">
      <c r="B11" t="s">
        <v>883</v>
      </c>
      <c r="C11" s="1" t="s">
        <v>901</v>
      </c>
      <c r="D11" s="2">
        <v>11750</v>
      </c>
      <c r="F11" s="76" t="str">
        <v>Ventes</v>
      </c>
      <c r="G11" s="76" t="str">
        <v>Manon Lambert</v>
      </c>
      <c r="H11" s="76">
        <v>8500</v>
      </c>
      <c r="J11" s="76" t="str">
        <v>Finance</v>
      </c>
      <c r="K11" s="76" t="str">
        <v>Nathan Leroy</v>
      </c>
      <c r="L11" s="76">
        <v>11750</v>
      </c>
      <c r="O11" t="str">
        <v>Finance</v>
      </c>
      <c r="P11" t="str">
        <v>Camille Dubois</v>
      </c>
      <c r="Q11">
        <v>5000</v>
      </c>
    </row>
    <row r="12" spans="1:17">
      <c r="B12" t="s">
        <v>917</v>
      </c>
      <c r="C12" s="1" t="s">
        <v>902</v>
      </c>
      <c r="D12" s="2">
        <v>9100</v>
      </c>
      <c r="F12" s="76" t="str">
        <v>Finance</v>
      </c>
      <c r="G12" s="76" t="str">
        <v>Jade Simon</v>
      </c>
      <c r="H12" s="76">
        <v>8900</v>
      </c>
      <c r="J12" s="76" t="str">
        <v>Finance</v>
      </c>
      <c r="K12" s="76" t="str">
        <v>Sarah Thomas</v>
      </c>
      <c r="L12" s="76">
        <v>11600</v>
      </c>
      <c r="O12" t="str">
        <v>Finance</v>
      </c>
      <c r="P12" t="str">
        <v>Léa Rousseau</v>
      </c>
      <c r="Q12">
        <v>4900</v>
      </c>
    </row>
    <row r="13" spans="1:17">
      <c r="B13" t="s">
        <v>888</v>
      </c>
      <c r="C13" s="1" t="s">
        <v>903</v>
      </c>
      <c r="D13" s="2">
        <v>12300</v>
      </c>
      <c r="F13" s="76" t="str">
        <v>Ventes</v>
      </c>
      <c r="G13" s="76" t="str">
        <v>Chloé Lefebvre</v>
      </c>
      <c r="H13" s="76">
        <v>9100</v>
      </c>
      <c r="J13" s="76" t="str">
        <v>Marketing</v>
      </c>
      <c r="K13" s="76" t="str">
        <v>Enzo Moreau</v>
      </c>
      <c r="L13" s="76">
        <v>12300</v>
      </c>
      <c r="O13" t="str">
        <v>Marketing</v>
      </c>
      <c r="P13" t="str">
        <v>Mathis Leroux</v>
      </c>
      <c r="Q13">
        <v>16800</v>
      </c>
    </row>
    <row r="14" spans="1:17">
      <c r="B14" t="s">
        <v>917</v>
      </c>
      <c r="C14" s="1" t="s">
        <v>904</v>
      </c>
      <c r="D14" s="2">
        <v>7800</v>
      </c>
      <c r="F14" s="76" t="str">
        <v>Ventes</v>
      </c>
      <c r="G14" s="76" t="str">
        <v>Hugo Dupont</v>
      </c>
      <c r="H14" s="76">
        <v>9800</v>
      </c>
      <c r="J14" s="76" t="str">
        <v>Marketing</v>
      </c>
      <c r="K14" s="76" t="str">
        <v>Inès Martinez</v>
      </c>
      <c r="L14" s="76">
        <v>10300</v>
      </c>
      <c r="O14" t="str">
        <v>Marketing</v>
      </c>
      <c r="P14" t="str">
        <v>Théo Laurent</v>
      </c>
      <c r="Q14">
        <v>15200</v>
      </c>
    </row>
    <row r="15" spans="1:17">
      <c r="B15" t="s">
        <v>888</v>
      </c>
      <c r="C15" s="1" t="s">
        <v>905</v>
      </c>
      <c r="D15" s="2">
        <v>15200</v>
      </c>
      <c r="F15" s="76" t="str">
        <v>Marketing</v>
      </c>
      <c r="G15" s="76" t="str">
        <v>Inès Martinez</v>
      </c>
      <c r="H15" s="76">
        <v>10300</v>
      </c>
      <c r="J15" s="76" t="str">
        <v>Marketing</v>
      </c>
      <c r="K15" s="76" t="str">
        <v>Lucas Martin</v>
      </c>
      <c r="L15" s="76">
        <v>6200</v>
      </c>
      <c r="O15" t="str">
        <v>Marketing</v>
      </c>
      <c r="P15" t="str">
        <v>Enzo Moreau</v>
      </c>
      <c r="Q15">
        <v>12300</v>
      </c>
    </row>
    <row r="16" spans="1:17">
      <c r="B16" t="s">
        <v>917</v>
      </c>
      <c r="C16" s="1" t="s">
        <v>906</v>
      </c>
      <c r="D16" s="2">
        <v>6500</v>
      </c>
      <c r="F16" s="76" t="str">
        <v>Ventes</v>
      </c>
      <c r="G16" s="76" t="str">
        <v>Louis Chevalier</v>
      </c>
      <c r="H16" s="76">
        <v>10600</v>
      </c>
      <c r="J16" s="76" t="str">
        <v>Marketing</v>
      </c>
      <c r="K16" s="76" t="str">
        <v>Mathis Leroux</v>
      </c>
      <c r="L16" s="76">
        <v>16800</v>
      </c>
      <c r="O16" t="str">
        <v>Marketing</v>
      </c>
      <c r="P16" t="str">
        <v>Inès Martinez</v>
      </c>
      <c r="Q16">
        <v>10300</v>
      </c>
    </row>
    <row r="17" spans="2:17">
      <c r="B17" t="s">
        <v>917</v>
      </c>
      <c r="C17" s="1" t="s">
        <v>907</v>
      </c>
      <c r="D17" s="2">
        <v>14000</v>
      </c>
      <c r="F17" s="76" t="str">
        <v>Finance</v>
      </c>
      <c r="G17" s="76" t="str">
        <v>Sarah Thomas</v>
      </c>
      <c r="H17" s="76">
        <v>11600</v>
      </c>
      <c r="J17" s="76" t="str">
        <v>Marketing</v>
      </c>
      <c r="K17" s="76" t="str">
        <v>Théo Laurent</v>
      </c>
      <c r="L17" s="76">
        <v>15200</v>
      </c>
      <c r="O17" t="str">
        <v>Marketing</v>
      </c>
      <c r="P17" t="str">
        <v>Lucas Martin</v>
      </c>
      <c r="Q17">
        <v>6200</v>
      </c>
    </row>
    <row r="18" spans="2:17">
      <c r="B18" t="s">
        <v>883</v>
      </c>
      <c r="C18" s="1" t="s">
        <v>908</v>
      </c>
      <c r="D18" s="2">
        <v>8900</v>
      </c>
      <c r="F18" s="76" t="str">
        <v>Finance</v>
      </c>
      <c r="G18" s="76" t="str">
        <v>Nathan Leroy</v>
      </c>
      <c r="H18" s="76">
        <v>11750</v>
      </c>
      <c r="J18" s="76" t="str">
        <v>Ventes</v>
      </c>
      <c r="K18" s="76" t="str">
        <v>Chloé Lefebvre</v>
      </c>
      <c r="L18" s="76">
        <v>9100</v>
      </c>
      <c r="O18" t="str">
        <v>Ventes</v>
      </c>
      <c r="P18" t="str">
        <v>Gabriel Petit</v>
      </c>
      <c r="Q18">
        <v>14000</v>
      </c>
    </row>
    <row r="19" spans="2:17">
      <c r="B19" t="s">
        <v>883</v>
      </c>
      <c r="C19" s="1" t="s">
        <v>909</v>
      </c>
      <c r="D19" s="2">
        <v>13450</v>
      </c>
      <c r="F19" s="76" t="str">
        <v>Marketing</v>
      </c>
      <c r="G19" s="76" t="str">
        <v>Enzo Moreau</v>
      </c>
      <c r="H19" s="76">
        <v>12300</v>
      </c>
      <c r="J19" s="76" t="str">
        <v>Ventes</v>
      </c>
      <c r="K19" s="76" t="str">
        <v>Clara Mercier</v>
      </c>
      <c r="L19" s="76">
        <v>7800</v>
      </c>
      <c r="O19" t="str">
        <v>Ventes</v>
      </c>
      <c r="P19" t="str">
        <v>Louis Chevalier</v>
      </c>
      <c r="Q19">
        <v>10600</v>
      </c>
    </row>
    <row r="20" spans="2:17">
      <c r="B20" t="s">
        <v>883</v>
      </c>
      <c r="C20" s="1" t="s">
        <v>911</v>
      </c>
      <c r="D20" s="2">
        <v>11600</v>
      </c>
      <c r="F20" s="76" t="str">
        <v>Finance</v>
      </c>
      <c r="G20" s="76" t="str">
        <v>Maxime Robin</v>
      </c>
      <c r="H20" s="76">
        <v>13450</v>
      </c>
      <c r="J20" s="76" t="str">
        <v>Ventes</v>
      </c>
      <c r="K20" s="76" t="str">
        <v>Gabriel Petit</v>
      </c>
      <c r="L20" s="76">
        <v>14000</v>
      </c>
      <c r="O20" t="str">
        <v>Ventes</v>
      </c>
      <c r="P20" t="str">
        <v>Hugo Dupont</v>
      </c>
      <c r="Q20">
        <v>9800</v>
      </c>
    </row>
    <row r="21" spans="2:17">
      <c r="B21" t="s">
        <v>888</v>
      </c>
      <c r="C21" s="1" t="s">
        <v>912</v>
      </c>
      <c r="D21" s="2">
        <v>16800</v>
      </c>
      <c r="F21" s="76" t="str">
        <v>Ventes</v>
      </c>
      <c r="G21" s="76" t="str">
        <v>Gabriel Petit</v>
      </c>
      <c r="H21" s="76">
        <v>14000</v>
      </c>
      <c r="J21" s="76" t="str">
        <v>Ventes</v>
      </c>
      <c r="K21" s="76" t="str">
        <v>Hugo Dupont</v>
      </c>
      <c r="L21" s="76">
        <v>9800</v>
      </c>
      <c r="O21" t="str">
        <v>Ventes</v>
      </c>
      <c r="P21" t="str">
        <v>Chloé Lefebvre</v>
      </c>
      <c r="Q21">
        <v>9100</v>
      </c>
    </row>
    <row r="22" spans="2:17">
      <c r="B22" t="s">
        <v>888</v>
      </c>
      <c r="C22" s="1" t="s">
        <v>913</v>
      </c>
      <c r="D22" s="2">
        <v>10300</v>
      </c>
      <c r="F22" s="76" t="str">
        <v>Marketing</v>
      </c>
      <c r="G22" s="76" t="str">
        <v>Théo Laurent</v>
      </c>
      <c r="H22" s="76">
        <v>15200</v>
      </c>
      <c r="J22" s="76" t="str">
        <v>Ventes</v>
      </c>
      <c r="K22" s="76" t="str">
        <v>Louis Chevalier</v>
      </c>
      <c r="L22" s="76">
        <v>10600</v>
      </c>
      <c r="O22" t="str">
        <v>Ventes</v>
      </c>
      <c r="P22" t="str">
        <v>Manon Lambert</v>
      </c>
      <c r="Q22">
        <v>8500</v>
      </c>
    </row>
    <row r="23" spans="2:17">
      <c r="B23" t="s">
        <v>883</v>
      </c>
      <c r="C23" s="1" t="s">
        <v>914</v>
      </c>
      <c r="D23" s="2">
        <v>17500</v>
      </c>
      <c r="F23" s="76" t="str">
        <v>Marketing</v>
      </c>
      <c r="G23" s="76" t="str">
        <v>Mathis Leroux</v>
      </c>
      <c r="H23" s="76">
        <v>16800</v>
      </c>
      <c r="J23" s="76" t="str">
        <v>Ventes</v>
      </c>
      <c r="K23" s="76" t="str">
        <v>Manon Lambert</v>
      </c>
      <c r="L23" s="76">
        <v>8500</v>
      </c>
      <c r="O23" t="str">
        <v>Ventes</v>
      </c>
      <c r="P23" t="str">
        <v>Clara Mercier</v>
      </c>
      <c r="Q23">
        <v>7800</v>
      </c>
    </row>
    <row r="24" spans="2:17">
      <c r="C24" s="1"/>
      <c r="D24" s="2"/>
      <c r="F24" s="76" t="str">
        <v>Finance</v>
      </c>
      <c r="G24" s="76" t="str">
        <v>Ethan Gauthier</v>
      </c>
      <c r="H24" s="76">
        <v>17500</v>
      </c>
      <c r="J24" s="76" t="str">
        <v>Ventes</v>
      </c>
      <c r="K24" s="76" t="str">
        <v>Zoé Girard</v>
      </c>
      <c r="L24" s="76">
        <v>6500</v>
      </c>
      <c r="O24" t="str">
        <v>Ventes</v>
      </c>
      <c r="P24" t="str">
        <v>Zoé Girard</v>
      </c>
      <c r="Q24">
        <v>6500</v>
      </c>
    </row>
    <row r="25" spans="2:17">
      <c r="I25" t="str">
        <f t="shared" ref="I25" si="0">LEFT(G25,1)</f>
        <v/>
      </c>
    </row>
    <row r="26" spans="2:17" ht="15.75">
      <c r="F26" s="113" t="str" cm="1">
        <f t="array" ref="F26">TranslateMe(227)</f>
        <v>Sorting the salary column DESC</v>
      </c>
      <c r="G26" s="113"/>
      <c r="H26" s="113"/>
    </row>
    <row r="27" spans="2:17" ht="18.75">
      <c r="F27" s="24" t="str">
        <f ca="1">_xlfn.FORMULATEXT(F28)</f>
        <v>=TRIER(B4:D23;3;-1)</v>
      </c>
      <c r="J27" s="24" t="str">
        <f ca="1">_xlfn.FORMULATEXT(J28)</f>
        <v>=UNIQUE(B4:B22)</v>
      </c>
      <c r="L27" s="24" t="str">
        <f ca="1">_xlfn.FORMULATEXT(L28)</f>
        <v>=TRIER(J28#)</v>
      </c>
    </row>
    <row r="28" spans="2:17">
      <c r="F28" s="76" t="str" cm="1">
        <f t="array" ref="F28:H47">_xlfn._xlws.SORT(B4:D23,3,-1)</f>
        <v>Finance</v>
      </c>
      <c r="G28" s="76" t="str">
        <v>Ethan Gauthier</v>
      </c>
      <c r="H28" s="76">
        <v>17500</v>
      </c>
      <c r="J28" t="str" cm="1">
        <f t="array" ref="J28:J30">_xlfn.UNIQUE(B4:B22)</f>
        <v>Finance</v>
      </c>
      <c r="L28" t="str" cm="1">
        <f t="array" ref="L28:L30">_xlfn._xlws.SORT(_xlfn.ANCHORARRAY(J28))</f>
        <v>Finance</v>
      </c>
    </row>
    <row r="29" spans="2:17">
      <c r="F29" s="76" t="str">
        <v>Marketing</v>
      </c>
      <c r="G29" s="76" t="str">
        <v>Mathis Leroux</v>
      </c>
      <c r="H29" s="76">
        <v>16800</v>
      </c>
      <c r="J29" t="str">
        <v>Marketing</v>
      </c>
      <c r="L29" t="str">
        <v>Marketing</v>
      </c>
    </row>
    <row r="30" spans="2:17">
      <c r="F30" s="76" t="str">
        <v>Marketing</v>
      </c>
      <c r="G30" s="76" t="str">
        <v>Théo Laurent</v>
      </c>
      <c r="H30" s="76">
        <v>15200</v>
      </c>
      <c r="J30" t="str">
        <v>Ventes</v>
      </c>
      <c r="L30" t="str">
        <v>Ventes</v>
      </c>
    </row>
    <row r="31" spans="2:17">
      <c r="F31" s="76" t="str">
        <v>Ventes</v>
      </c>
      <c r="G31" s="76" t="str">
        <v>Gabriel Petit</v>
      </c>
      <c r="H31" s="76">
        <v>14000</v>
      </c>
    </row>
    <row r="32" spans="2:17">
      <c r="F32" s="76" t="str">
        <v>Finance</v>
      </c>
      <c r="G32" s="76" t="str">
        <v>Maxime Robin</v>
      </c>
      <c r="H32" s="76">
        <v>13450</v>
      </c>
    </row>
    <row r="33" spans="6:8">
      <c r="F33" s="76" t="str">
        <v>Marketing</v>
      </c>
      <c r="G33" s="76" t="str">
        <v>Enzo Moreau</v>
      </c>
      <c r="H33" s="76">
        <v>12300</v>
      </c>
    </row>
    <row r="34" spans="6:8">
      <c r="F34" s="76" t="str">
        <v>Finance</v>
      </c>
      <c r="G34" s="76" t="str">
        <v>Nathan Leroy</v>
      </c>
      <c r="H34" s="76">
        <v>11750</v>
      </c>
    </row>
    <row r="35" spans="6:8">
      <c r="F35" s="76" t="str">
        <v>Finance</v>
      </c>
      <c r="G35" s="76" t="str">
        <v>Sarah Thomas</v>
      </c>
      <c r="H35" s="76">
        <v>11600</v>
      </c>
    </row>
    <row r="36" spans="6:8">
      <c r="F36" s="76" t="str">
        <v>Ventes</v>
      </c>
      <c r="G36" s="76" t="str">
        <v>Louis Chevalier</v>
      </c>
      <c r="H36" s="76">
        <v>10600</v>
      </c>
    </row>
    <row r="37" spans="6:8">
      <c r="F37" s="76" t="str">
        <v>Marketing</v>
      </c>
      <c r="G37" s="76" t="str">
        <v>Inès Martinez</v>
      </c>
      <c r="H37" s="76">
        <v>10300</v>
      </c>
    </row>
    <row r="38" spans="6:8">
      <c r="F38" s="76" t="str">
        <v>Ventes</v>
      </c>
      <c r="G38" s="76" t="str">
        <v>Hugo Dupont</v>
      </c>
      <c r="H38" s="76">
        <v>9800</v>
      </c>
    </row>
    <row r="39" spans="6:8">
      <c r="F39" s="76" t="str">
        <v>Ventes</v>
      </c>
      <c r="G39" s="76" t="str">
        <v>Chloé Lefebvre</v>
      </c>
      <c r="H39" s="76">
        <v>9100</v>
      </c>
    </row>
    <row r="40" spans="6:8">
      <c r="F40" s="76" t="str">
        <v>Finance</v>
      </c>
      <c r="G40" s="76" t="str">
        <v>Jade Simon</v>
      </c>
      <c r="H40" s="76">
        <v>8900</v>
      </c>
    </row>
    <row r="41" spans="6:8">
      <c r="F41" s="76" t="str">
        <v>Ventes</v>
      </c>
      <c r="G41" s="76" t="str">
        <v>Manon Lambert</v>
      </c>
      <c r="H41" s="76">
        <v>8500</v>
      </c>
    </row>
    <row r="42" spans="6:8">
      <c r="F42" s="76" t="str">
        <v>Ventes</v>
      </c>
      <c r="G42" s="76" t="str">
        <v>Clara Mercier</v>
      </c>
      <c r="H42" s="76">
        <v>7800</v>
      </c>
    </row>
    <row r="43" spans="6:8">
      <c r="F43" s="76" t="str">
        <v>Finance</v>
      </c>
      <c r="G43" s="76" t="str">
        <v>Emma Garcia</v>
      </c>
      <c r="H43" s="76">
        <v>7300</v>
      </c>
    </row>
    <row r="44" spans="6:8">
      <c r="F44" s="76" t="str">
        <v>Ventes</v>
      </c>
      <c r="G44" s="76" t="str">
        <v>Zoé Girard</v>
      </c>
      <c r="H44" s="76">
        <v>6500</v>
      </c>
    </row>
    <row r="45" spans="6:8">
      <c r="F45" s="76" t="str">
        <v>Marketing</v>
      </c>
      <c r="G45" s="76" t="str">
        <v>Lucas Martin</v>
      </c>
      <c r="H45" s="76">
        <v>6200</v>
      </c>
    </row>
    <row r="46" spans="6:8">
      <c r="F46" s="76" t="str">
        <v>Finance</v>
      </c>
      <c r="G46" s="76" t="str">
        <v>Camille Dubois</v>
      </c>
      <c r="H46" s="76">
        <v>5000</v>
      </c>
    </row>
    <row r="47" spans="6:8">
      <c r="F47" s="76" t="str">
        <v>Finance</v>
      </c>
      <c r="G47" s="76" t="str">
        <v>Léa Rousseau</v>
      </c>
      <c r="H47" s="76">
        <v>4900</v>
      </c>
    </row>
  </sheetData>
  <conditionalFormatting sqref="Q5:Q24">
    <cfRule type="dataBar" priority="1">
      <dataBar>
        <cfvo type="min"/>
        <cfvo type="num" val="25000"/>
        <color rgb="FF008AEF"/>
      </dataBar>
      <extLst>
        <ext xmlns:x14="http://schemas.microsoft.com/office/spreadsheetml/2009/9/main" uri="{B025F937-C7B1-47D3-B67F-A62EFF666E3E}">
          <x14:id>{E978CB7B-9F76-45F8-9F81-0E79B3DA2AF1}</x14:id>
        </ext>
      </extLst>
    </cfRule>
  </conditionalFormatting>
  <hyperlinks>
    <hyperlink ref="A1" location="MENU!A1" display="MENU!A1" xr:uid="{9063A85B-ADA2-4A7F-B750-345851772F5C}"/>
  </hyperlink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E978CB7B-9F76-45F8-9F81-0E79B3DA2AF1}">
            <x14:dataBar minLength="0" maxLength="100" border="1" negativeBarBorderColorSameAsPositive="0">
              <x14:cfvo type="autoMin"/>
              <x14:cfvo type="num">
                <xm:f>25000</xm:f>
              </x14:cfvo>
              <x14:borderColor rgb="FF008AEF"/>
              <x14:negativeFillColor rgb="FFFF0000"/>
              <x14:negativeBorderColor rgb="FFFF0000"/>
              <x14:axisColor rgb="FF000000"/>
            </x14:dataBar>
          </x14:cfRule>
          <xm:sqref>Q5:Q24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2F60C-779F-416D-9CAD-B82EF0600BCB}">
  <sheetPr codeName="Sheet16">
    <tabColor theme="7"/>
  </sheetPr>
  <dimension ref="A1:P34"/>
  <sheetViews>
    <sheetView tabSelected="1" zoomScale="85" zoomScaleNormal="85" workbookViewId="0"/>
  </sheetViews>
  <sheetFormatPr defaultColWidth="9.140625" defaultRowHeight="18.75"/>
  <cols>
    <col min="2" max="2" width="7" style="10" customWidth="1"/>
    <col min="3" max="3" width="24.140625" style="10" bestFit="1" customWidth="1"/>
    <col min="4" max="4" width="27.140625" style="10" bestFit="1" customWidth="1"/>
    <col min="6" max="6" width="42.7109375" customWidth="1"/>
    <col min="7" max="7" width="23.28515625" bestFit="1" customWidth="1"/>
    <col min="8" max="8" width="38.85546875" customWidth="1"/>
    <col min="11" max="11" width="18.140625" customWidth="1"/>
    <col min="17" max="17" width="9.5703125" bestFit="1" customWidth="1"/>
  </cols>
  <sheetData>
    <row r="1" spans="1:16" s="45" customFormat="1" ht="68.25" customHeight="1">
      <c r="A1" s="110" t="e" vm="2">
        <v>#VALUE!</v>
      </c>
      <c r="C1" s="112" t="str" cm="1">
        <f t="array" ref="C1">TranslateMe(25)</f>
        <v>INDEX | XMATCH | OFFSET</v>
      </c>
      <c r="D1" s="111"/>
    </row>
    <row r="2" spans="1:16">
      <c r="B2" s="113" t="s">
        <v>499</v>
      </c>
      <c r="C2" s="113" t="s">
        <v>918</v>
      </c>
      <c r="D2" s="113" t="s">
        <v>919</v>
      </c>
      <c r="F2" s="27" t="str" cm="1">
        <f t="array" ref="F2">TranslateMe(230)</f>
        <v>COL</v>
      </c>
      <c r="G2" s="77">
        <v>17</v>
      </c>
    </row>
    <row r="3" spans="1:16">
      <c r="B3" s="10">
        <v>1</v>
      </c>
      <c r="C3" s="10" t="s">
        <v>920</v>
      </c>
      <c r="D3" s="10" t="s">
        <v>921</v>
      </c>
      <c r="F3" s="27" t="str" cm="1">
        <f t="array" ref="F3">TranslateMe(229)</f>
        <v>ROW</v>
      </c>
      <c r="G3" s="77">
        <v>3</v>
      </c>
    </row>
    <row r="4" spans="1:16" ht="33.75">
      <c r="B4" s="10">
        <v>2</v>
      </c>
      <c r="C4" s="10" t="s">
        <v>922</v>
      </c>
      <c r="D4" s="10" t="s">
        <v>923</v>
      </c>
      <c r="F4" s="61" t="str" cm="1">
        <f t="array" ref="F4">Translatefct(830,0)</f>
        <v>INDEX</v>
      </c>
      <c r="G4" s="109" t="str" cm="1">
        <f t="array" ref="G4">Translatefct(830,1)</f>
        <v>Returns the value of a cell at the intersection of a row and column in a range.</v>
      </c>
      <c r="H4" s="61"/>
      <c r="I4" s="61"/>
      <c r="J4" s="61"/>
      <c r="K4" s="61"/>
      <c r="L4" s="61"/>
      <c r="M4" s="61"/>
      <c r="N4" s="61"/>
      <c r="O4" s="61"/>
      <c r="P4" s="61"/>
    </row>
    <row r="5" spans="1:16">
      <c r="B5" s="10">
        <v>3</v>
      </c>
      <c r="C5" s="10" t="s">
        <v>924</v>
      </c>
      <c r="D5" s="10" t="s">
        <v>925</v>
      </c>
      <c r="F5" s="5" t="str" cm="1">
        <f t="array" ref="F5">TranslateMe(231)</f>
        <v>Who's in row 17 and col 3 ?</v>
      </c>
      <c r="H5" s="8"/>
    </row>
    <row r="6" spans="1:16" ht="23.25">
      <c r="B6" s="10">
        <v>4</v>
      </c>
      <c r="C6" s="10" t="s">
        <v>926</v>
      </c>
      <c r="D6" s="10" t="s">
        <v>927</v>
      </c>
      <c r="F6" s="63" t="str" cm="1">
        <f t="array" ref="F6">INDEX($B$3:$D$33,$G$2,$G$3)</f>
        <v>Nicolas Hayek</v>
      </c>
      <c r="H6" s="24" t="str">
        <f ca="1">_xlfn.FORMULATEXT(F6)</f>
        <v>=INDEX($B$3:$D$33;$G$2;$G$3)</v>
      </c>
    </row>
    <row r="7" spans="1:16">
      <c r="B7" s="10">
        <v>5</v>
      </c>
      <c r="C7" s="10" t="s">
        <v>922</v>
      </c>
      <c r="D7" s="10" t="s">
        <v>928</v>
      </c>
    </row>
    <row r="8" spans="1:16">
      <c r="B8" s="10">
        <v>6</v>
      </c>
      <c r="C8" s="10" t="s">
        <v>924</v>
      </c>
      <c r="D8" s="10" t="s">
        <v>929</v>
      </c>
    </row>
    <row r="9" spans="1:16" ht="33.75">
      <c r="B9" s="10">
        <v>7</v>
      </c>
      <c r="C9" s="10" t="s">
        <v>930</v>
      </c>
      <c r="D9" s="10" t="s">
        <v>931</v>
      </c>
      <c r="F9" s="61" t="str" cm="1">
        <f t="array" ref="F9">Translatefct(180,0)</f>
        <v>XMATCH</v>
      </c>
      <c r="G9" s="109" t="str" cm="1">
        <f t="array" ref="G9">Translatefct(180,1)</f>
        <v>Finds the relative position of a value in an array (replacement for MATCH).</v>
      </c>
      <c r="H9" s="61"/>
      <c r="I9" s="61"/>
      <c r="J9" s="61"/>
      <c r="K9" s="61"/>
      <c r="L9" s="61"/>
      <c r="M9" s="61"/>
      <c r="N9" s="61"/>
      <c r="O9" s="61"/>
      <c r="P9" s="61"/>
    </row>
    <row r="10" spans="1:16">
      <c r="B10" s="10">
        <v>8</v>
      </c>
      <c r="C10" s="10" t="s">
        <v>930</v>
      </c>
      <c r="D10" s="10" t="s">
        <v>932</v>
      </c>
      <c r="F10" s="5" t="str" cm="1">
        <f t="array" ref="F10">TranslateMe(232)</f>
        <v>Which column contains this data ?</v>
      </c>
      <c r="H10" s="68" t="s">
        <v>918</v>
      </c>
    </row>
    <row r="11" spans="1:16" ht="23.25">
      <c r="B11" s="10">
        <v>9</v>
      </c>
      <c r="C11" s="10" t="s">
        <v>922</v>
      </c>
      <c r="D11" s="10" t="s">
        <v>933</v>
      </c>
      <c r="F11" s="63">
        <f>_xlfn.XMATCH(H10,$B$2:$D$2,0)</f>
        <v>2</v>
      </c>
      <c r="H11" s="24" t="str">
        <f ca="1">_xlfn.FORMULATEXT(F11)</f>
        <v>=EQUIVX(H10;$B$2:$D$2;0)</v>
      </c>
    </row>
    <row r="12" spans="1:16">
      <c r="B12" s="10">
        <v>10</v>
      </c>
      <c r="C12" s="10" t="s">
        <v>924</v>
      </c>
      <c r="D12" s="10" t="s">
        <v>934</v>
      </c>
    </row>
    <row r="13" spans="1:16">
      <c r="B13" s="10">
        <v>11</v>
      </c>
      <c r="C13" s="10" t="s">
        <v>922</v>
      </c>
      <c r="D13" s="10" t="s">
        <v>935</v>
      </c>
      <c r="F13" s="5" t="str" cm="1">
        <f t="array" ref="F13">TranslateMe(233)</f>
        <v xml:space="preserve">Show the row number of </v>
      </c>
      <c r="G13" s="5" t="s">
        <v>936</v>
      </c>
    </row>
    <row r="14" spans="1:16" ht="23.25">
      <c r="B14" s="10">
        <v>12</v>
      </c>
      <c r="C14" s="10" t="s">
        <v>920</v>
      </c>
      <c r="D14" s="10" t="s">
        <v>937</v>
      </c>
      <c r="F14" s="63">
        <f>_xlfn.XMATCH($G$13,$D$3:$D$33,0)</f>
        <v>16</v>
      </c>
      <c r="H14" s="24" t="str">
        <f ca="1">_xlfn.FORMULATEXT(F14)</f>
        <v>=EQUIVX($G$13;$D$3:$D$33;0)</v>
      </c>
    </row>
    <row r="15" spans="1:16">
      <c r="B15" s="10">
        <v>13</v>
      </c>
      <c r="C15" s="10" t="s">
        <v>930</v>
      </c>
      <c r="D15" s="10" t="s">
        <v>938</v>
      </c>
      <c r="H15" s="24"/>
    </row>
    <row r="16" spans="1:16" ht="33.75">
      <c r="B16" s="10">
        <v>14</v>
      </c>
      <c r="C16" s="10" t="s">
        <v>939</v>
      </c>
      <c r="D16" s="10" t="s">
        <v>940</v>
      </c>
      <c r="F16" s="61" t="str" cm="1">
        <f t="array" ref="F16">Translatefct(840,0)</f>
        <v>OFFSET</v>
      </c>
      <c r="G16" s="109" t="str" cm="1">
        <f t="array" ref="G16">Translatefct(840,1)</f>
        <v>Returns a reference to a range that is offset from a starting cell by rows and columns.</v>
      </c>
      <c r="H16" s="61"/>
      <c r="I16" s="61"/>
      <c r="J16" s="61"/>
      <c r="K16" s="61"/>
      <c r="L16" s="61"/>
      <c r="M16" s="61"/>
      <c r="N16" s="61"/>
      <c r="O16" s="61"/>
      <c r="P16" s="61"/>
    </row>
    <row r="17" spans="2:16">
      <c r="B17" s="10">
        <v>15</v>
      </c>
      <c r="C17" s="10" t="s">
        <v>922</v>
      </c>
      <c r="D17" s="10" t="s">
        <v>941</v>
      </c>
      <c r="F17" s="5" t="str" cm="1">
        <f t="array" ref="F17">TranslateMe(234)</f>
        <v>Which category is  Paul Klee in ?</v>
      </c>
    </row>
    <row r="18" spans="2:16" ht="23.25">
      <c r="B18" s="10">
        <v>16</v>
      </c>
      <c r="C18" s="10" t="s">
        <v>939</v>
      </c>
      <c r="D18" s="10" t="s">
        <v>936</v>
      </c>
      <c r="F18" s="63" t="str">
        <f ca="1">OFFSET($B$2,$F$14,$F$11-1)</f>
        <v>Auteur / Artiste</v>
      </c>
      <c r="H18" s="24" t="str">
        <f ca="1">_xlfn.FORMULATEXT(F18)</f>
        <v>=DECALER($B$2;$F$14;$F$11-1)</v>
      </c>
    </row>
    <row r="19" spans="2:16">
      <c r="B19" s="10">
        <v>17</v>
      </c>
      <c r="C19" s="10" t="s">
        <v>924</v>
      </c>
      <c r="D19" s="10" t="s">
        <v>942</v>
      </c>
    </row>
    <row r="20" spans="2:16" ht="33.75">
      <c r="B20" s="10">
        <v>18</v>
      </c>
      <c r="C20" s="10" t="s">
        <v>930</v>
      </c>
      <c r="D20" s="10" t="s">
        <v>943</v>
      </c>
      <c r="F20" s="61" t="str" cm="1">
        <f t="array" ref="F20">Translatefct(840,0)</f>
        <v>OFFSET</v>
      </c>
      <c r="G20" s="109" t="str" cm="1">
        <f t="array" ref="G20">Translatefct(840,1)</f>
        <v>Returns a reference to a range that is offset from a starting cell by rows and columns.</v>
      </c>
      <c r="H20" s="61"/>
      <c r="I20" s="61"/>
      <c r="J20" s="61"/>
      <c r="K20" s="61"/>
      <c r="L20" s="61"/>
      <c r="M20" s="61"/>
      <c r="N20" s="61"/>
      <c r="O20" s="61"/>
      <c r="P20" s="61"/>
    </row>
    <row r="21" spans="2:16" ht="23.25">
      <c r="B21" s="10">
        <v>19</v>
      </c>
      <c r="C21" s="10" t="s">
        <v>930</v>
      </c>
      <c r="D21" s="10" t="s">
        <v>944</v>
      </c>
      <c r="F21" s="63" t="str" cm="1">
        <f t="array" aca="1" ref="F21:G23" ca="1">OFFSET(B2,F14,1,3,2)</f>
        <v>Auteur / Artiste</v>
      </c>
      <c r="G21" s="63" t="str">
        <f ca="1"/>
        <v>Paul Klee</v>
      </c>
      <c r="H21" s="24" t="str">
        <f ca="1">_xlfn.FORMULATEXT(F21)</f>
        <v>=DECALER(B2;F14;1;3;2)</v>
      </c>
    </row>
    <row r="22" spans="2:16" ht="23.25">
      <c r="B22" s="10">
        <v>20</v>
      </c>
      <c r="C22" s="10" t="s">
        <v>920</v>
      </c>
      <c r="D22" s="10" t="s">
        <v>945</v>
      </c>
      <c r="F22" s="63" t="str">
        <f ca="1"/>
        <v>Business/Innovation</v>
      </c>
      <c r="G22" s="63" t="str">
        <f ca="1"/>
        <v>Nicolas Hayek</v>
      </c>
    </row>
    <row r="23" spans="2:16" ht="23.25">
      <c r="B23" s="10">
        <v>21</v>
      </c>
      <c r="C23" s="10" t="s">
        <v>924</v>
      </c>
      <c r="D23" s="10" t="s">
        <v>946</v>
      </c>
      <c r="F23" s="63" t="str">
        <f ca="1"/>
        <v>Histoire</v>
      </c>
      <c r="G23" s="63" t="str">
        <f ca="1"/>
        <v>William Tell</v>
      </c>
    </row>
    <row r="24" spans="2:16">
      <c r="B24" s="10">
        <v>22</v>
      </c>
      <c r="C24" s="10" t="s">
        <v>922</v>
      </c>
      <c r="D24" s="10" t="s">
        <v>947</v>
      </c>
    </row>
    <row r="25" spans="2:16" ht="33.75">
      <c r="B25" s="10">
        <v>23</v>
      </c>
      <c r="C25" s="10" t="s">
        <v>930</v>
      </c>
      <c r="D25" s="10" t="s">
        <v>948</v>
      </c>
      <c r="F25" s="61" t="str" cm="1">
        <f t="array" ref="F25">Translatefct(840,0)</f>
        <v>OFFSET</v>
      </c>
      <c r="G25" s="109" t="str" cm="1">
        <f t="array" ref="G25">Translatefct(840,1)</f>
        <v>Returns a reference to a range that is offset from a starting cell by rows and columns.</v>
      </c>
      <c r="H25" s="61"/>
      <c r="I25" s="61"/>
      <c r="J25" s="61"/>
      <c r="K25" s="61"/>
      <c r="L25" s="61"/>
      <c r="M25" s="61"/>
      <c r="N25" s="61"/>
      <c r="O25" s="61"/>
      <c r="P25" s="61"/>
    </row>
    <row r="26" spans="2:16" ht="23.25">
      <c r="B26" s="10">
        <v>24</v>
      </c>
      <c r="C26" s="10" t="s">
        <v>930</v>
      </c>
      <c r="D26" s="10" t="s">
        <v>949</v>
      </c>
      <c r="F26" s="63" cm="1">
        <f t="array" aca="1" ref="F26:G27" ca="1">OFFSET(D33,-1,-1,-2,-2)</f>
        <v>29</v>
      </c>
      <c r="G26" s="63" t="str">
        <f ca="1"/>
        <v>Auteur / Artiste</v>
      </c>
      <c r="H26" s="24" t="str">
        <f ca="1">_xlfn.FORMULATEXT(F26)</f>
        <v>=DECALER(D33;-1;-1;-2;-2)</v>
      </c>
    </row>
    <row r="27" spans="2:16" ht="23.25">
      <c r="B27" s="10">
        <v>25</v>
      </c>
      <c r="C27" s="10" t="s">
        <v>920</v>
      </c>
      <c r="D27" s="10" t="s">
        <v>950</v>
      </c>
      <c r="F27" s="63">
        <f ca="1"/>
        <v>30</v>
      </c>
      <c r="G27" s="63" t="str">
        <f ca="1"/>
        <v>Auteur / Artiste</v>
      </c>
    </row>
    <row r="28" spans="2:16">
      <c r="B28" s="10">
        <v>26</v>
      </c>
      <c r="C28" s="10" t="s">
        <v>922</v>
      </c>
      <c r="D28" s="10" t="s">
        <v>951</v>
      </c>
    </row>
    <row r="29" spans="2:16">
      <c r="B29" s="10">
        <v>27</v>
      </c>
      <c r="C29" s="10" t="s">
        <v>926</v>
      </c>
      <c r="D29" s="10" t="s">
        <v>952</v>
      </c>
    </row>
    <row r="30" spans="2:16">
      <c r="B30" s="10">
        <v>28</v>
      </c>
      <c r="C30" s="10" t="s">
        <v>920</v>
      </c>
      <c r="D30" s="10" t="s">
        <v>953</v>
      </c>
      <c r="F30" s="5" t="str" cm="1">
        <f t="array" ref="F30">TranslateMe(235)</f>
        <v>FIND ALL PEOPLE IN THE SAME CATEGORY AS PAUL KLEE</v>
      </c>
    </row>
    <row r="31" spans="2:16" ht="23.25">
      <c r="B31" s="10">
        <v>29</v>
      </c>
      <c r="C31" s="10" t="s">
        <v>939</v>
      </c>
      <c r="D31" s="10" t="s">
        <v>954</v>
      </c>
      <c r="F31" s="63" cm="1">
        <f t="array" aca="1" ref="F31:H34" ca="1">_xlfn._xlws.FILTER($B$2:$D$32,$C$2:$C$32=OFFSET(B2,F14,1))</f>
        <v>14</v>
      </c>
      <c r="G31" s="63" t="str">
        <f ca="1"/>
        <v>Auteur / Artiste</v>
      </c>
      <c r="H31" s="63" t="str">
        <f ca="1"/>
        <v>Johanna Spyri</v>
      </c>
    </row>
    <row r="32" spans="2:16" ht="23.25">
      <c r="B32" s="10">
        <v>30</v>
      </c>
      <c r="C32" s="10" t="s">
        <v>939</v>
      </c>
      <c r="D32" s="10" t="s">
        <v>955</v>
      </c>
      <c r="F32" s="63">
        <f ca="1"/>
        <v>16</v>
      </c>
      <c r="G32" s="63" t="str">
        <f ca="1"/>
        <v>Auteur / Artiste</v>
      </c>
      <c r="H32" s="63" t="str">
        <f ca="1"/>
        <v>Paul Klee</v>
      </c>
    </row>
    <row r="33" spans="6:8" ht="23.25">
      <c r="F33" s="63">
        <f ca="1"/>
        <v>29</v>
      </c>
      <c r="G33" s="63" t="str">
        <f ca="1"/>
        <v>Auteur / Artiste</v>
      </c>
      <c r="H33" s="63" t="str">
        <f ca="1"/>
        <v>Hermann Hesse</v>
      </c>
    </row>
    <row r="34" spans="6:8" ht="23.25">
      <c r="F34" s="63">
        <f ca="1"/>
        <v>30</v>
      </c>
      <c r="G34" s="63" t="str">
        <f ca="1"/>
        <v>Auteur / Artiste</v>
      </c>
      <c r="H34" s="63" t="str">
        <f ca="1"/>
        <v>Friedrich Dürrenmatt</v>
      </c>
    </row>
  </sheetData>
  <sortState xmlns:xlrd2="http://schemas.microsoft.com/office/spreadsheetml/2017/richdata2" ref="B3:D32">
    <sortCondition ref="B3:B32"/>
  </sortState>
  <dataValidations count="1">
    <dataValidation type="list" allowBlank="1" showInputMessage="1" showErrorMessage="1" sqref="H10" xr:uid="{33763607-65EF-42F0-BA14-94676139F7CA}">
      <formula1>$B$2:$D$2</formula1>
    </dataValidation>
  </dataValidations>
  <hyperlinks>
    <hyperlink ref="A1" location="MENU!A1" display="MENU!A1" xr:uid="{FD80ACDA-D3D6-481A-94CF-D9DE021E9D0F}"/>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D6ED4-F2DB-4AA5-B110-612BB9EEA2E4}">
  <sheetPr codeName="Sheet5">
    <tabColor theme="7"/>
  </sheetPr>
  <dimension ref="A1:T40"/>
  <sheetViews>
    <sheetView workbookViewId="0">
      <selection activeCell="J12" sqref="J12"/>
    </sheetView>
  </sheetViews>
  <sheetFormatPr defaultColWidth="11.42578125" defaultRowHeight="18.75"/>
  <cols>
    <col min="2" max="2" width="17.7109375" customWidth="1"/>
    <col min="3" max="3" width="14.28515625" customWidth="1"/>
    <col min="4" max="4" width="13.85546875" customWidth="1"/>
    <col min="5" max="5" width="9.28515625" bestFit="1" customWidth="1"/>
    <col min="6" max="7" width="9.28515625" customWidth="1"/>
    <col min="8" max="8" width="13.7109375" bestFit="1" customWidth="1"/>
    <col min="9" max="9" width="13.7109375" customWidth="1"/>
    <col min="10" max="10" width="22" style="10" customWidth="1"/>
    <col min="11" max="11" width="24" style="10" customWidth="1"/>
    <col min="12" max="12" width="15" style="10" customWidth="1"/>
    <col min="13" max="13" width="13" bestFit="1" customWidth="1"/>
    <col min="15" max="15" width="18.85546875" customWidth="1"/>
    <col min="16" max="16" width="26.140625" customWidth="1"/>
  </cols>
  <sheetData>
    <row r="1" spans="1:16" s="45" customFormat="1" ht="68.25" customHeight="1">
      <c r="A1" s="110" t="e" vm="2">
        <v>#VALUE!</v>
      </c>
      <c r="C1" s="112" t="str" cm="1">
        <f t="array" ref="C1">Translatefct(850,0)</f>
        <v>VLOOKUP</v>
      </c>
      <c r="D1" s="111"/>
      <c r="F1" s="118"/>
      <c r="I1" s="227" t="str" cm="1">
        <f t="array" ref="I1">Translatefct(850,1)</f>
        <v>Searches for a value in the first column of a range and returns a value in the same row.
VLOOKUP( VALUE; SEARCH RANGE; RETURN COLUMN NUMBER; 0/1 )</v>
      </c>
      <c r="J1" s="227"/>
      <c r="K1" s="227"/>
      <c r="L1" s="227"/>
      <c r="M1" s="227"/>
      <c r="N1" s="227"/>
      <c r="O1" s="227"/>
      <c r="P1" s="227"/>
    </row>
    <row r="2" spans="1:16" ht="15.75" thickBot="1">
      <c r="B2" s="13" t="s">
        <v>956</v>
      </c>
      <c r="C2" s="13" t="s">
        <v>499</v>
      </c>
      <c r="D2" s="13" t="s">
        <v>671</v>
      </c>
      <c r="E2" s="13" t="s">
        <v>673</v>
      </c>
      <c r="F2" s="13" t="s">
        <v>675</v>
      </c>
      <c r="G2" s="13" t="s">
        <v>677</v>
      </c>
      <c r="H2" s="3" t="s">
        <v>957</v>
      </c>
      <c r="I2" s="3"/>
      <c r="J2"/>
      <c r="K2"/>
      <c r="L2"/>
    </row>
    <row r="3" spans="1:16" ht="34.5" thickTop="1">
      <c r="B3" s="114" t="s">
        <v>958</v>
      </c>
      <c r="C3" s="114" t="s">
        <v>959</v>
      </c>
      <c r="D3" s="114" t="s">
        <v>893</v>
      </c>
      <c r="E3" s="114" t="s">
        <v>960</v>
      </c>
      <c r="F3" s="114" t="s">
        <v>890</v>
      </c>
      <c r="G3" s="114">
        <v>1968</v>
      </c>
      <c r="H3" s="114">
        <v>68</v>
      </c>
      <c r="J3" s="61" t="str" cm="1">
        <f t="array" ref="J3">TranslateMe(237)</f>
        <v>VLOOKUP WITH WILDCARD</v>
      </c>
      <c r="K3" s="61"/>
      <c r="L3" s="61"/>
      <c r="M3" s="61"/>
      <c r="N3" s="61"/>
      <c r="O3" s="61"/>
      <c r="P3" s="61"/>
    </row>
    <row r="4" spans="1:16">
      <c r="B4" s="115" t="s">
        <v>961</v>
      </c>
      <c r="C4" s="115" t="s">
        <v>962</v>
      </c>
      <c r="D4" s="115" t="s">
        <v>893</v>
      </c>
      <c r="E4" s="115" t="s">
        <v>960</v>
      </c>
      <c r="F4" s="115" t="s">
        <v>890</v>
      </c>
      <c r="G4" s="115">
        <v>1988</v>
      </c>
      <c r="H4" s="115">
        <v>986</v>
      </c>
      <c r="J4"/>
      <c r="K4" s="68" t="s">
        <v>963</v>
      </c>
      <c r="L4"/>
    </row>
    <row r="5" spans="1:16" ht="23.25">
      <c r="B5" s="116" t="s">
        <v>964</v>
      </c>
      <c r="C5" s="116" t="s">
        <v>965</v>
      </c>
      <c r="D5" s="116" t="s">
        <v>893</v>
      </c>
      <c r="E5" s="116" t="s">
        <v>960</v>
      </c>
      <c r="F5" s="116" t="s">
        <v>890</v>
      </c>
      <c r="G5" s="116">
        <v>1990</v>
      </c>
      <c r="H5" s="116">
        <v>175</v>
      </c>
      <c r="J5"/>
      <c r="K5" s="63" t="str">
        <f>VLOOKUP($K$4&amp;"*",$B$3:$E$40,2,0)</f>
        <v>ID28</v>
      </c>
      <c r="L5" s="24" t="str">
        <f ca="1">_xlfn.FORMULATEXT(K5)</f>
        <v>=RECHERCHEV($K$4&amp;"*";$B$3:$E$40;2;0)</v>
      </c>
    </row>
    <row r="6" spans="1:16">
      <c r="B6" s="115" t="s">
        <v>966</v>
      </c>
      <c r="C6" s="115" t="s">
        <v>967</v>
      </c>
      <c r="D6" s="115" t="s">
        <v>893</v>
      </c>
      <c r="E6" s="115" t="s">
        <v>960</v>
      </c>
      <c r="F6" s="115" t="s">
        <v>890</v>
      </c>
      <c r="G6" s="115">
        <v>1985</v>
      </c>
      <c r="H6" s="115">
        <v>339</v>
      </c>
    </row>
    <row r="7" spans="1:16">
      <c r="B7" s="116" t="s">
        <v>968</v>
      </c>
      <c r="C7" s="116" t="s">
        <v>969</v>
      </c>
      <c r="D7" s="116" t="s">
        <v>893</v>
      </c>
      <c r="E7" s="116" t="s">
        <v>960</v>
      </c>
      <c r="F7" s="116" t="s">
        <v>890</v>
      </c>
      <c r="G7" s="116">
        <v>2003</v>
      </c>
      <c r="H7" s="116">
        <v>433</v>
      </c>
      <c r="J7"/>
      <c r="K7" s="129" t="s">
        <v>970</v>
      </c>
    </row>
    <row r="8" spans="1:16">
      <c r="B8" s="115" t="s">
        <v>971</v>
      </c>
      <c r="C8" s="115" t="s">
        <v>972</v>
      </c>
      <c r="D8" s="115" t="s">
        <v>893</v>
      </c>
      <c r="E8" s="115" t="s">
        <v>960</v>
      </c>
      <c r="F8" s="115" t="s">
        <v>890</v>
      </c>
      <c r="G8" s="115">
        <v>2005</v>
      </c>
      <c r="H8" s="115">
        <v>-22</v>
      </c>
      <c r="J8"/>
      <c r="K8" s="129" t="s">
        <v>673</v>
      </c>
    </row>
    <row r="9" spans="1:16">
      <c r="B9" s="116" t="s">
        <v>973</v>
      </c>
      <c r="C9" s="116" t="s">
        <v>974</v>
      </c>
      <c r="D9" s="116" t="s">
        <v>893</v>
      </c>
      <c r="E9" s="116" t="s">
        <v>960</v>
      </c>
      <c r="F9" s="116" t="s">
        <v>890</v>
      </c>
      <c r="G9" s="116">
        <v>1996</v>
      </c>
      <c r="H9" s="116">
        <v>116</v>
      </c>
      <c r="L9"/>
    </row>
    <row r="10" spans="1:16">
      <c r="B10" s="115" t="s">
        <v>975</v>
      </c>
      <c r="C10" s="115" t="s">
        <v>976</v>
      </c>
      <c r="D10" s="115" t="s">
        <v>893</v>
      </c>
      <c r="E10" s="115" t="s">
        <v>891</v>
      </c>
      <c r="F10" s="115" t="s">
        <v>890</v>
      </c>
      <c r="G10" s="115">
        <v>1984</v>
      </c>
      <c r="H10" s="115">
        <v>749</v>
      </c>
      <c r="L10"/>
    </row>
    <row r="11" spans="1:16" ht="33.75">
      <c r="B11" s="116" t="s">
        <v>977</v>
      </c>
      <c r="C11" s="116" t="s">
        <v>978</v>
      </c>
      <c r="D11" s="116" t="s">
        <v>893</v>
      </c>
      <c r="E11" s="116" t="s">
        <v>891</v>
      </c>
      <c r="F11" s="116" t="s">
        <v>890</v>
      </c>
      <c r="G11" s="116">
        <v>1974</v>
      </c>
      <c r="H11" s="116">
        <v>343</v>
      </c>
      <c r="J11" s="61" t="str" cm="1">
        <f t="array" ref="J11">TranslateMe(238)</f>
        <v>SEARCH WITH INDEX AND MATCH</v>
      </c>
      <c r="K11" s="61"/>
      <c r="L11" s="61"/>
      <c r="M11" s="61"/>
      <c r="N11" s="61"/>
      <c r="O11" s="61"/>
      <c r="P11" s="61"/>
    </row>
    <row r="12" spans="1:16" ht="23.25">
      <c r="B12" s="115" t="s">
        <v>979</v>
      </c>
      <c r="C12" s="115" t="s">
        <v>980</v>
      </c>
      <c r="D12" s="115" t="s">
        <v>893</v>
      </c>
      <c r="E12" s="115" t="s">
        <v>891</v>
      </c>
      <c r="F12" s="115" t="s">
        <v>890</v>
      </c>
      <c r="G12" s="115">
        <v>1977</v>
      </c>
      <c r="H12" s="115">
        <v>51</v>
      </c>
      <c r="J12" s="63" t="str">
        <f>INDEX(B2:E40,MATCH($K$7,$B$2:$B$40,0),MATCH($K$8,$B$2:$E$2,0))</f>
        <v>Biel</v>
      </c>
      <c r="L12" s="24" t="str">
        <f ca="1">_xlfn.FORMULATEXT(J12)</f>
        <v>=INDEX(B2:E40;EQUIV($K$7;$B$2:$B$40;0);EQUIV($K$8;$B$2:$E$2;0))</v>
      </c>
    </row>
    <row r="13" spans="1:16" ht="15">
      <c r="B13" s="116" t="s">
        <v>981</v>
      </c>
      <c r="C13" s="116" t="s">
        <v>982</v>
      </c>
      <c r="D13" s="116" t="s">
        <v>893</v>
      </c>
      <c r="E13" s="116" t="s">
        <v>891</v>
      </c>
      <c r="F13" s="116" t="s">
        <v>890</v>
      </c>
      <c r="G13" s="116">
        <v>1999</v>
      </c>
      <c r="H13" s="116">
        <v>795</v>
      </c>
      <c r="J13"/>
      <c r="K13"/>
      <c r="L13"/>
    </row>
    <row r="14" spans="1:16">
      <c r="B14" s="115" t="s">
        <v>983</v>
      </c>
      <c r="C14" s="115" t="s">
        <v>984</v>
      </c>
      <c r="D14" s="115" t="s">
        <v>893</v>
      </c>
      <c r="E14" s="115" t="s">
        <v>891</v>
      </c>
      <c r="F14" s="115" t="s">
        <v>885</v>
      </c>
      <c r="G14" s="115">
        <v>1968</v>
      </c>
      <c r="H14" s="115">
        <v>519</v>
      </c>
    </row>
    <row r="15" spans="1:16" ht="33.75">
      <c r="B15" s="116" t="s">
        <v>985</v>
      </c>
      <c r="C15" s="116" t="s">
        <v>986</v>
      </c>
      <c r="D15" s="116" t="s">
        <v>893</v>
      </c>
      <c r="E15" s="116" t="s">
        <v>891</v>
      </c>
      <c r="F15" s="116" t="s">
        <v>885</v>
      </c>
      <c r="G15" s="116">
        <v>1988</v>
      </c>
      <c r="H15" s="116">
        <v>117</v>
      </c>
      <c r="J15" s="61" t="str" cm="1">
        <f t="array" ref="J15">TranslateMe(239)</f>
        <v>HORIZONTAL MATRIX VLOOKUP</v>
      </c>
      <c r="K15" s="61"/>
      <c r="L15" s="61"/>
      <c r="M15" s="61"/>
      <c r="N15" s="61"/>
      <c r="O15" s="61"/>
      <c r="P15" s="61"/>
    </row>
    <row r="16" spans="1:16" ht="23.25">
      <c r="B16" s="115" t="s">
        <v>970</v>
      </c>
      <c r="C16" s="115" t="s">
        <v>987</v>
      </c>
      <c r="D16" s="115" t="s">
        <v>988</v>
      </c>
      <c r="E16" s="115" t="s">
        <v>989</v>
      </c>
      <c r="F16" s="115" t="s">
        <v>885</v>
      </c>
      <c r="G16" s="115">
        <v>1990</v>
      </c>
      <c r="H16" s="115">
        <v>223</v>
      </c>
      <c r="J16" s="63" t="str" cm="1">
        <f t="array" ref="J16:M16">VLOOKUP($K$7,B3:G40,{4,2,6,5},FALSE)</f>
        <v>Biel</v>
      </c>
      <c r="K16" s="63" t="str">
        <v>ID3</v>
      </c>
      <c r="L16" s="63">
        <v>1990</v>
      </c>
      <c r="M16" s="63" t="str">
        <v>F</v>
      </c>
      <c r="N16" s="24" t="str">
        <f ca="1">_xlfn.FORMULATEXT(J16)</f>
        <v>=RECHERCHEV($K$7;B3:G40;{4.2.6.5};FAUX)</v>
      </c>
      <c r="O16" s="11"/>
    </row>
    <row r="17" spans="2:20">
      <c r="B17" s="116" t="s">
        <v>990</v>
      </c>
      <c r="C17" s="116" t="s">
        <v>991</v>
      </c>
      <c r="D17" s="116" t="s">
        <v>988</v>
      </c>
      <c r="E17" s="116" t="s">
        <v>989</v>
      </c>
      <c r="F17" s="116" t="s">
        <v>890</v>
      </c>
      <c r="G17" s="116">
        <v>1985</v>
      </c>
      <c r="H17" s="116">
        <v>958</v>
      </c>
      <c r="J17"/>
      <c r="K17"/>
    </row>
    <row r="18" spans="2:20" ht="33.75">
      <c r="B18" s="115" t="s">
        <v>992</v>
      </c>
      <c r="C18" s="115" t="s">
        <v>993</v>
      </c>
      <c r="D18" s="115" t="s">
        <v>988</v>
      </c>
      <c r="E18" s="115" t="s">
        <v>989</v>
      </c>
      <c r="F18" s="115" t="s">
        <v>890</v>
      </c>
      <c r="G18" s="115">
        <v>2003</v>
      </c>
      <c r="H18" s="115">
        <v>832</v>
      </c>
      <c r="J18" s="61" t="str" cm="1">
        <f t="array" ref="J18">TranslateMe(240)</f>
        <v>VERTICAL MATRIX VLOOKUP</v>
      </c>
      <c r="K18" s="61"/>
      <c r="L18" s="61"/>
      <c r="M18" s="61"/>
      <c r="N18" s="61"/>
      <c r="O18" s="61"/>
      <c r="P18" s="61"/>
    </row>
    <row r="19" spans="2:20" ht="23.25">
      <c r="B19" s="116" t="s">
        <v>994</v>
      </c>
      <c r="C19" s="116" t="s">
        <v>995</v>
      </c>
      <c r="D19" s="116" t="s">
        <v>988</v>
      </c>
      <c r="E19" s="116" t="s">
        <v>989</v>
      </c>
      <c r="F19" s="116" t="s">
        <v>885</v>
      </c>
      <c r="G19" s="116">
        <v>2005</v>
      </c>
      <c r="H19" s="116">
        <v>302</v>
      </c>
      <c r="J19" s="63" t="str" cm="1">
        <f t="array" ref="J19:J22">VLOOKUP($K$7,B3:H40,_xlfn.SEQUENCE(4,1,3,1),FALSE)</f>
        <v>Procurement</v>
      </c>
    </row>
    <row r="20" spans="2:20" ht="23.25">
      <c r="B20" s="115" t="s">
        <v>996</v>
      </c>
      <c r="C20" s="115" t="s">
        <v>997</v>
      </c>
      <c r="D20" s="115" t="s">
        <v>988</v>
      </c>
      <c r="E20" s="115" t="s">
        <v>989</v>
      </c>
      <c r="F20" s="115" t="s">
        <v>885</v>
      </c>
      <c r="G20" s="115">
        <v>1996</v>
      </c>
      <c r="H20" s="115">
        <v>967</v>
      </c>
      <c r="J20" s="63" t="str">
        <v>Biel</v>
      </c>
      <c r="K20" s="24" t="str">
        <f ca="1">_xlfn.FORMULATEXT(J19)</f>
        <v>=RECHERCHEV($K$7;B3:H40;SEQUENCE(4;1;3;1);FAUX)</v>
      </c>
    </row>
    <row r="21" spans="2:20" ht="23.25">
      <c r="B21" s="116" t="s">
        <v>998</v>
      </c>
      <c r="C21" s="116" t="s">
        <v>999</v>
      </c>
      <c r="D21" s="116" t="s">
        <v>988</v>
      </c>
      <c r="E21" s="116" t="s">
        <v>989</v>
      </c>
      <c r="F21" s="116" t="s">
        <v>890</v>
      </c>
      <c r="G21" s="116">
        <v>1984</v>
      </c>
      <c r="H21" s="116">
        <v>629</v>
      </c>
      <c r="J21" s="63" t="str">
        <v>F</v>
      </c>
    </row>
    <row r="22" spans="2:20" ht="23.25">
      <c r="B22" s="115" t="s">
        <v>1000</v>
      </c>
      <c r="C22" s="115" t="s">
        <v>1001</v>
      </c>
      <c r="D22" s="115" t="s">
        <v>883</v>
      </c>
      <c r="E22" s="115" t="s">
        <v>886</v>
      </c>
      <c r="F22" s="115" t="s">
        <v>890</v>
      </c>
      <c r="G22" s="115">
        <v>1974</v>
      </c>
      <c r="H22" s="115">
        <v>827</v>
      </c>
      <c r="J22" s="63">
        <v>1990</v>
      </c>
    </row>
    <row r="23" spans="2:20">
      <c r="B23" s="116" t="s">
        <v>1002</v>
      </c>
      <c r="C23" s="116" t="s">
        <v>1003</v>
      </c>
      <c r="D23" s="116" t="s">
        <v>883</v>
      </c>
      <c r="E23" s="116" t="s">
        <v>886</v>
      </c>
      <c r="F23" s="116" t="s">
        <v>890</v>
      </c>
      <c r="G23" s="116">
        <v>1977</v>
      </c>
      <c r="H23" s="116">
        <v>454</v>
      </c>
    </row>
    <row r="24" spans="2:20">
      <c r="B24" s="115" t="s">
        <v>1004</v>
      </c>
      <c r="C24" s="115" t="s">
        <v>1005</v>
      </c>
      <c r="D24" s="115" t="s">
        <v>883</v>
      </c>
      <c r="E24" s="115" t="s">
        <v>886</v>
      </c>
      <c r="F24" s="115" t="s">
        <v>890</v>
      </c>
      <c r="G24" s="115">
        <v>1999</v>
      </c>
      <c r="H24" s="115">
        <v>835</v>
      </c>
      <c r="M24" s="10"/>
      <c r="N24" s="10"/>
      <c r="O24" s="10"/>
    </row>
    <row r="25" spans="2:20" ht="15">
      <c r="B25" s="116" t="s">
        <v>1006</v>
      </c>
      <c r="C25" s="116" t="s">
        <v>1007</v>
      </c>
      <c r="D25" s="116" t="s">
        <v>883</v>
      </c>
      <c r="E25" s="116" t="s">
        <v>886</v>
      </c>
      <c r="F25" s="116" t="s">
        <v>890</v>
      </c>
      <c r="G25" s="116">
        <v>1968</v>
      </c>
      <c r="H25" s="116">
        <v>344</v>
      </c>
      <c r="J25"/>
      <c r="K25"/>
      <c r="L25"/>
    </row>
    <row r="26" spans="2:20" ht="15">
      <c r="B26" s="115" t="s">
        <v>1008</v>
      </c>
      <c r="C26" s="115" t="s">
        <v>1009</v>
      </c>
      <c r="D26" s="115" t="s">
        <v>883</v>
      </c>
      <c r="E26" s="115" t="s">
        <v>886</v>
      </c>
      <c r="F26" s="115" t="s">
        <v>890</v>
      </c>
      <c r="G26" s="115">
        <v>1988</v>
      </c>
      <c r="H26" s="115">
        <v>3</v>
      </c>
      <c r="J26"/>
      <c r="K26"/>
      <c r="L26"/>
    </row>
    <row r="27" spans="2:20">
      <c r="B27" s="116" t="s">
        <v>1010</v>
      </c>
      <c r="C27" s="116" t="s">
        <v>1011</v>
      </c>
      <c r="D27" s="116" t="s">
        <v>883</v>
      </c>
      <c r="E27" s="116" t="s">
        <v>886</v>
      </c>
      <c r="F27" s="116" t="s">
        <v>900</v>
      </c>
      <c r="G27" s="116">
        <v>1990</v>
      </c>
      <c r="H27" s="116">
        <v>-28</v>
      </c>
      <c r="J27"/>
      <c r="K27"/>
      <c r="L27"/>
      <c r="P27" s="10"/>
      <c r="Q27" s="10"/>
      <c r="R27" s="10"/>
      <c r="S27" s="10"/>
      <c r="T27" s="10"/>
    </row>
    <row r="28" spans="2:20">
      <c r="B28" s="115" t="s">
        <v>1012</v>
      </c>
      <c r="C28" s="115" t="s">
        <v>1013</v>
      </c>
      <c r="D28" s="115" t="s">
        <v>883</v>
      </c>
      <c r="E28" s="115" t="s">
        <v>910</v>
      </c>
      <c r="F28" s="115" t="s">
        <v>885</v>
      </c>
      <c r="G28" s="115">
        <v>1985</v>
      </c>
      <c r="H28" s="115">
        <v>230</v>
      </c>
    </row>
    <row r="29" spans="2:20">
      <c r="B29" s="116" t="s">
        <v>1014</v>
      </c>
      <c r="C29" s="116" t="s">
        <v>1015</v>
      </c>
      <c r="D29" s="116" t="s">
        <v>883</v>
      </c>
      <c r="E29" s="116" t="s">
        <v>910</v>
      </c>
      <c r="F29" s="116" t="s">
        <v>885</v>
      </c>
      <c r="G29" s="116">
        <v>2003</v>
      </c>
      <c r="H29" s="116">
        <v>941</v>
      </c>
    </row>
    <row r="30" spans="2:20">
      <c r="B30" s="115" t="s">
        <v>1016</v>
      </c>
      <c r="C30" s="115" t="s">
        <v>1017</v>
      </c>
      <c r="D30" s="115" t="s">
        <v>883</v>
      </c>
      <c r="E30" s="115" t="s">
        <v>910</v>
      </c>
      <c r="F30" s="115" t="s">
        <v>890</v>
      </c>
      <c r="G30" s="115">
        <v>2005</v>
      </c>
      <c r="H30" s="115">
        <v>503</v>
      </c>
    </row>
    <row r="31" spans="2:20">
      <c r="B31" s="116" t="s">
        <v>1018</v>
      </c>
      <c r="C31" s="116" t="s">
        <v>1019</v>
      </c>
      <c r="D31" s="116" t="s">
        <v>883</v>
      </c>
      <c r="E31" s="116" t="s">
        <v>910</v>
      </c>
      <c r="F31" s="116" t="s">
        <v>890</v>
      </c>
      <c r="G31" s="116">
        <v>1996</v>
      </c>
      <c r="H31" s="116">
        <v>2</v>
      </c>
    </row>
    <row r="32" spans="2:20">
      <c r="B32" s="115" t="s">
        <v>1020</v>
      </c>
      <c r="C32" s="115" t="s">
        <v>1021</v>
      </c>
      <c r="D32" s="115" t="s">
        <v>883</v>
      </c>
      <c r="E32" s="115" t="s">
        <v>910</v>
      </c>
      <c r="F32" s="115" t="s">
        <v>890</v>
      </c>
      <c r="G32" s="115">
        <v>1984</v>
      </c>
      <c r="H32" s="115">
        <v>302</v>
      </c>
    </row>
    <row r="33" spans="2:10">
      <c r="B33" s="116" t="s">
        <v>1022</v>
      </c>
      <c r="C33" s="116" t="s">
        <v>1023</v>
      </c>
      <c r="D33" s="116" t="s">
        <v>883</v>
      </c>
      <c r="E33" s="116" t="s">
        <v>910</v>
      </c>
      <c r="F33" s="116" t="s">
        <v>890</v>
      </c>
      <c r="G33" s="116">
        <v>1974</v>
      </c>
      <c r="H33" s="116">
        <v>254</v>
      </c>
    </row>
    <row r="34" spans="2:10">
      <c r="B34" s="115" t="s">
        <v>1024</v>
      </c>
      <c r="C34" s="115" t="s">
        <v>1011</v>
      </c>
      <c r="D34" s="115" t="s">
        <v>883</v>
      </c>
      <c r="E34" s="115" t="s">
        <v>886</v>
      </c>
      <c r="F34" s="115" t="s">
        <v>885</v>
      </c>
      <c r="G34" s="115">
        <v>1977</v>
      </c>
      <c r="H34" s="115">
        <v>310</v>
      </c>
    </row>
    <row r="35" spans="2:10">
      <c r="B35" s="116" t="s">
        <v>1012</v>
      </c>
      <c r="C35" s="116" t="s">
        <v>1013</v>
      </c>
      <c r="D35" s="116" t="s">
        <v>883</v>
      </c>
      <c r="E35" s="116" t="s">
        <v>910</v>
      </c>
      <c r="F35" s="116" t="s">
        <v>885</v>
      </c>
      <c r="G35" s="116">
        <v>1999</v>
      </c>
      <c r="H35" s="116">
        <v>930</v>
      </c>
      <c r="J35" s="35"/>
    </row>
    <row r="36" spans="2:10">
      <c r="B36" s="115" t="s">
        <v>1014</v>
      </c>
      <c r="C36" s="115" t="s">
        <v>1015</v>
      </c>
      <c r="D36" s="115" t="s">
        <v>883</v>
      </c>
      <c r="E36" s="115" t="s">
        <v>910</v>
      </c>
      <c r="F36" s="115" t="s">
        <v>885</v>
      </c>
      <c r="G36" s="115">
        <v>2009</v>
      </c>
      <c r="H36" s="115">
        <v>307</v>
      </c>
      <c r="J36" s="35"/>
    </row>
    <row r="37" spans="2:10">
      <c r="B37" s="116" t="s">
        <v>1016</v>
      </c>
      <c r="C37" s="116" t="s">
        <v>1017</v>
      </c>
      <c r="D37" s="116" t="s">
        <v>883</v>
      </c>
      <c r="E37" s="116" t="s">
        <v>910</v>
      </c>
      <c r="F37" s="116" t="s">
        <v>900</v>
      </c>
      <c r="G37" s="116">
        <v>2011</v>
      </c>
      <c r="H37" s="116">
        <v>286</v>
      </c>
      <c r="J37" s="35"/>
    </row>
    <row r="38" spans="2:10">
      <c r="B38" s="115" t="s">
        <v>1018</v>
      </c>
      <c r="C38" s="115" t="s">
        <v>1019</v>
      </c>
      <c r="D38" s="115" t="s">
        <v>883</v>
      </c>
      <c r="E38" s="115" t="s">
        <v>910</v>
      </c>
      <c r="F38" s="115" t="s">
        <v>890</v>
      </c>
      <c r="G38" s="115">
        <v>201</v>
      </c>
      <c r="H38" s="115">
        <v>170</v>
      </c>
      <c r="J38" s="35"/>
    </row>
    <row r="39" spans="2:10">
      <c r="B39" s="116" t="s">
        <v>1020</v>
      </c>
      <c r="C39" s="116" t="s">
        <v>1021</v>
      </c>
      <c r="D39" s="116" t="s">
        <v>883</v>
      </c>
      <c r="E39" s="116" t="s">
        <v>910</v>
      </c>
      <c r="F39" s="116" t="s">
        <v>890</v>
      </c>
      <c r="G39" s="116">
        <v>2006</v>
      </c>
      <c r="H39" s="116">
        <v>968</v>
      </c>
      <c r="J39" s="35"/>
    </row>
    <row r="40" spans="2:10">
      <c r="B40" s="117" t="s">
        <v>1022</v>
      </c>
      <c r="C40" s="117" t="s">
        <v>1023</v>
      </c>
      <c r="D40" s="117" t="s">
        <v>883</v>
      </c>
      <c r="E40" s="117" t="s">
        <v>910</v>
      </c>
      <c r="F40" s="115" t="s">
        <v>890</v>
      </c>
      <c r="G40" s="115">
        <v>2007</v>
      </c>
      <c r="H40" s="115">
        <v>930</v>
      </c>
      <c r="J40" s="35"/>
    </row>
  </sheetData>
  <mergeCells count="1">
    <mergeCell ref="I1:P1"/>
  </mergeCells>
  <dataValidations count="2">
    <dataValidation type="list" allowBlank="1" showInputMessage="1" showErrorMessage="1" sqref="K7" xr:uid="{6A831E17-F3F4-4498-9CA9-1F702D0CA4AE}">
      <formula1>$B$3:$B$40</formula1>
    </dataValidation>
    <dataValidation type="list" allowBlank="1" showInputMessage="1" showErrorMessage="1" sqref="K8" xr:uid="{946D1489-1170-426C-8618-4DD33E647327}">
      <formula1>$C$2:$E$2</formula1>
    </dataValidation>
  </dataValidations>
  <hyperlinks>
    <hyperlink ref="A1" location="MENU!A1" display="MENU!A1" xr:uid="{E77AED65-87CA-4D48-AE85-C386A4D36A6A}"/>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40D6F-A0EB-425B-998B-B3483F4536A3}">
  <sheetPr codeName="Sheet8">
    <tabColor theme="7"/>
  </sheetPr>
  <dimension ref="A1:T100"/>
  <sheetViews>
    <sheetView topLeftCell="D1" workbookViewId="0">
      <selection activeCell="J32" sqref="J32"/>
    </sheetView>
  </sheetViews>
  <sheetFormatPr defaultColWidth="15.140625" defaultRowHeight="15"/>
  <cols>
    <col min="2" max="2" width="10.42578125" customWidth="1"/>
    <col min="3" max="3" width="30.42578125" customWidth="1"/>
    <col min="4" max="4" width="21" bestFit="1" customWidth="1"/>
    <col min="5" max="5" width="18" customWidth="1"/>
    <col min="6" max="6" width="21" bestFit="1" customWidth="1"/>
    <col min="7" max="7" width="15.85546875" customWidth="1"/>
    <col min="8" max="8" width="21" bestFit="1" customWidth="1"/>
    <col min="10" max="10" width="30" customWidth="1"/>
    <col min="11" max="11" width="26.85546875" customWidth="1"/>
    <col min="12" max="12" width="39.5703125" customWidth="1"/>
    <col min="13" max="13" width="23.28515625" customWidth="1"/>
    <col min="14" max="14" width="28" customWidth="1"/>
    <col min="15" max="15" width="18.85546875" customWidth="1"/>
    <col min="16" max="16" width="16.7109375" bestFit="1" customWidth="1"/>
    <col min="17" max="17" width="22.42578125" customWidth="1"/>
    <col min="18" max="18" width="16.28515625" bestFit="1" customWidth="1"/>
    <col min="19" max="19" width="21" bestFit="1" customWidth="1"/>
  </cols>
  <sheetData>
    <row r="1" spans="1:20" s="45" customFormat="1" ht="61.5">
      <c r="A1" s="110" t="e" vm="2">
        <v>#VALUE!</v>
      </c>
      <c r="B1" s="45" t="e" vm="3">
        <v>#VALUE!</v>
      </c>
      <c r="C1" s="119" t="str" cm="1">
        <f t="array" ref="C1">Translatefct(170,0)</f>
        <v>XLOOKUP</v>
      </c>
      <c r="D1" s="111"/>
      <c r="E1" s="229" t="str" cm="1">
        <f t="array" ref="E1">Translatefct(170,1)</f>
        <v>Advanced replacement for VLOOKUP and HLOOKUP, allowing for flexible lookups.
XLOOKUP(lookup_value, lookup_array, return_array, [if_not_found], [match_mode], [search_mode])</v>
      </c>
      <c r="F1" s="229"/>
      <c r="G1" s="229"/>
      <c r="H1" s="229"/>
      <c r="I1" s="229"/>
      <c r="J1" s="229"/>
      <c r="K1" s="229"/>
      <c r="L1" s="228" t="s">
        <v>1025</v>
      </c>
      <c r="M1" s="228"/>
      <c r="N1" s="228" t="s">
        <v>1026</v>
      </c>
      <c r="O1" s="228"/>
      <c r="P1" s="228"/>
    </row>
    <row r="2" spans="1:20" ht="18.75">
      <c r="D2" s="24" t="str">
        <f ca="1">_xlfn.FORMULATEXT(E23)</f>
        <v>=RECHERCHEX([@[Nom / Name]];Tableau_bonus[Nom];Tableau_bonus[Bonus %];0)*D23</v>
      </c>
      <c r="L2" t="str" cm="1">
        <f t="array" ref="L2">IF(eng_flag,"match_mode","mode_correspondance")</f>
        <v>match_mode</v>
      </c>
      <c r="N2" t="str" cm="1">
        <f t="array" ref="N2">IF(eng_flag,"search_mode","mode_recherche")</f>
        <v>search_mode</v>
      </c>
    </row>
    <row r="3" spans="1:20" ht="18.75">
      <c r="F3" s="24" t="str">
        <f ca="1">_xlfn.FORMULATEXT(G23)</f>
        <v>=RECHERCHEX(D23;$G$56:$G$60;$H$56:$H$60;;-1)*D23</v>
      </c>
    </row>
    <row r="4" spans="1:20" s="26" customFormat="1" ht="25.5" customHeight="1">
      <c r="B4" s="80" t="s">
        <v>1027</v>
      </c>
      <c r="J4" s="61" t="str" cm="1">
        <f t="array" ref="J4">TranslateMe(82)</f>
        <v>Basic XLOOKUP (to the left)</v>
      </c>
      <c r="K4" s="61"/>
      <c r="L4"/>
      <c r="M4"/>
      <c r="N4"/>
      <c r="O4"/>
      <c r="P4"/>
    </row>
    <row r="5" spans="1:20" ht="18.75">
      <c r="B5" s="113" t="s">
        <v>1028</v>
      </c>
      <c r="C5" s="113" t="s">
        <v>1029</v>
      </c>
      <c r="D5" s="113" t="s">
        <v>1030</v>
      </c>
      <c r="E5" s="113" t="s">
        <v>679</v>
      </c>
      <c r="F5" s="113" t="s">
        <v>1031</v>
      </c>
      <c r="G5" s="113" t="s">
        <v>1032</v>
      </c>
      <c r="H5" s="113" t="s">
        <v>859</v>
      </c>
      <c r="I5" s="3"/>
      <c r="J5" s="68" t="s">
        <v>1033</v>
      </c>
    </row>
    <row r="6" spans="1:20" ht="23.25">
      <c r="B6" s="10">
        <v>1980</v>
      </c>
      <c r="C6" s="5" t="s">
        <v>1034</v>
      </c>
      <c r="D6" s="120">
        <v>150000</v>
      </c>
      <c r="E6" s="121">
        <f>_xlfn.XLOOKUP(tbl_Presidents[[#This Row],[Nom / Name]],Tableau_bonus[Nom],Tableau_bonus[Bonus %],0)*D6</f>
        <v>33000</v>
      </c>
      <c r="F6" s="120">
        <f>D6+E6</f>
        <v>183000</v>
      </c>
      <c r="G6" s="122">
        <f t="shared" ref="G6:G50" si="0">_xlfn.XLOOKUP(D6,$G$56:$G$60,$H$56:$H$60,,-1)*D6</f>
        <v>0</v>
      </c>
      <c r="H6" s="120">
        <f t="shared" ref="H6:H23" si="1">SUM(F6:G6)</f>
        <v>183000</v>
      </c>
      <c r="I6" s="34"/>
      <c r="J6" s="63">
        <f>_xlfn.XLOOKUP($J$5,tbl_Presidents[Nom / Name],tbl_Presidents[Année / Year])</f>
        <v>1991</v>
      </c>
      <c r="K6" s="24"/>
    </row>
    <row r="7" spans="1:20" ht="18.75">
      <c r="B7" s="10">
        <v>1981</v>
      </c>
      <c r="C7" s="5" t="s">
        <v>1035</v>
      </c>
      <c r="D7" s="120">
        <v>150818</v>
      </c>
      <c r="E7" s="121">
        <f>_xlfn.XLOOKUP(tbl_Presidents[[#This Row],[Nom / Name]],Tableau_bonus[Nom],Tableau_bonus[Bonus %],0)*D7</f>
        <v>37704.5</v>
      </c>
      <c r="F7" s="120">
        <f t="shared" ref="F7:F23" si="2">D7+E7</f>
        <v>188522.5</v>
      </c>
      <c r="G7" s="122">
        <f t="shared" si="0"/>
        <v>0</v>
      </c>
      <c r="H7" s="120">
        <f t="shared" si="1"/>
        <v>188522.5</v>
      </c>
      <c r="I7" s="34"/>
      <c r="T7" s="24"/>
    </row>
    <row r="8" spans="1:20" ht="33.75">
      <c r="B8" s="10">
        <v>1982</v>
      </c>
      <c r="C8" s="5" t="s">
        <v>1036</v>
      </c>
      <c r="D8" s="120">
        <v>151624</v>
      </c>
      <c r="E8" s="121">
        <f>_xlfn.XLOOKUP(tbl_Presidents[[#This Row],[Nom / Name]],Tableau_bonus[Nom],Tableau_bonus[Bonus %],0)*D8</f>
        <v>37906</v>
      </c>
      <c r="F8" s="120">
        <f t="shared" si="2"/>
        <v>189530</v>
      </c>
      <c r="G8" s="122">
        <f t="shared" si="0"/>
        <v>0</v>
      </c>
      <c r="H8" s="120">
        <f t="shared" si="1"/>
        <v>189530</v>
      </c>
      <c r="I8" s="34"/>
      <c r="J8" s="61" t="str" cm="1">
        <f t="array" ref="J8">TranslateMe(83)</f>
        <v>XLOOKUP multiple values</v>
      </c>
      <c r="K8" s="61"/>
      <c r="M8" s="61" t="str" cm="1">
        <f t="array" ref="M8">TranslateMe(84)</f>
        <v>XLOOKUP multiple results</v>
      </c>
      <c r="N8" s="61"/>
    </row>
    <row r="9" spans="1:20" ht="23.25">
      <c r="B9" s="10">
        <v>1983</v>
      </c>
      <c r="C9" s="5" t="s">
        <v>1037</v>
      </c>
      <c r="D9" s="120">
        <v>152499</v>
      </c>
      <c r="E9" s="121">
        <f>_xlfn.XLOOKUP(tbl_Presidents[[#This Row],[Nom / Name]],Tableau_bonus[Nom],Tableau_bonus[Bonus %],0)*D9</f>
        <v>38124.75</v>
      </c>
      <c r="F9" s="120">
        <f t="shared" si="2"/>
        <v>190623.75</v>
      </c>
      <c r="G9" s="122">
        <f t="shared" si="0"/>
        <v>0</v>
      </c>
      <c r="H9" s="120">
        <f t="shared" si="1"/>
        <v>190623.75</v>
      </c>
      <c r="I9" s="34"/>
      <c r="J9" s="68" t="s">
        <v>1036</v>
      </c>
      <c r="K9" s="63" cm="1">
        <f t="array" ref="K9:K11">_xlfn.XLOOKUP(J9:J11,tbl_Presidents[Nom / Name],tbl_Presidents[Année / Year])</f>
        <v>1982</v>
      </c>
      <c r="M9" s="68" t="s">
        <v>1033</v>
      </c>
      <c r="O9" s="34"/>
      <c r="P9" s="34"/>
      <c r="Q9" s="34"/>
      <c r="R9" s="34"/>
    </row>
    <row r="10" spans="1:20" ht="23.25">
      <c r="B10" s="10">
        <v>1984</v>
      </c>
      <c r="C10" s="5" t="s">
        <v>1038</v>
      </c>
      <c r="D10" s="120">
        <v>152384</v>
      </c>
      <c r="E10" s="121">
        <f>_xlfn.XLOOKUP(tbl_Presidents[[#This Row],[Nom / Name]],Tableau_bonus[Nom],Tableau_bonus[Bonus %],0)*D10</f>
        <v>38096</v>
      </c>
      <c r="F10" s="120">
        <f t="shared" si="2"/>
        <v>190480</v>
      </c>
      <c r="G10" s="122">
        <f t="shared" si="0"/>
        <v>0</v>
      </c>
      <c r="H10" s="120">
        <f t="shared" si="1"/>
        <v>190480</v>
      </c>
      <c r="I10" s="34"/>
      <c r="J10" s="68" t="s">
        <v>935</v>
      </c>
      <c r="K10" s="63">
        <v>1988</v>
      </c>
      <c r="M10" s="63" cm="1">
        <f t="array" ref="M10:Q10">_xlfn.XLOOKUP($M$9,tbl_Presidents[Nom / Name],tbl_Presidents[[Base]:[Total]])</f>
        <v>159548</v>
      </c>
      <c r="N10" s="63">
        <v>30314.12</v>
      </c>
      <c r="O10" s="63">
        <v>189862.12</v>
      </c>
      <c r="P10" s="63">
        <v>0</v>
      </c>
      <c r="Q10" s="63">
        <v>189862.12</v>
      </c>
      <c r="R10" s="34"/>
    </row>
    <row r="11" spans="1:20" ht="23.25">
      <c r="B11" s="10">
        <v>1985</v>
      </c>
      <c r="C11" s="5" t="s">
        <v>1039</v>
      </c>
      <c r="D11" s="120">
        <v>154665</v>
      </c>
      <c r="E11" s="121">
        <f>_xlfn.XLOOKUP(tbl_Presidents[[#This Row],[Nom / Name]],Tableau_bonus[Nom],Tableau_bonus[Bonus %],0)*D11</f>
        <v>37119.599999999999</v>
      </c>
      <c r="F11" s="120">
        <f t="shared" si="2"/>
        <v>191784.6</v>
      </c>
      <c r="G11" s="122">
        <f t="shared" si="0"/>
        <v>0</v>
      </c>
      <c r="H11" s="120">
        <f t="shared" si="1"/>
        <v>191784.6</v>
      </c>
      <c r="I11" s="34"/>
      <c r="J11" s="68" t="s">
        <v>1040</v>
      </c>
      <c r="K11" s="63">
        <v>1989</v>
      </c>
      <c r="O11" s="34"/>
      <c r="P11" s="34"/>
      <c r="Q11" s="34"/>
      <c r="R11" s="34"/>
    </row>
    <row r="12" spans="1:20" ht="18.75">
      <c r="B12" s="10">
        <v>1986</v>
      </c>
      <c r="C12" s="5" t="s">
        <v>1039</v>
      </c>
      <c r="D12" s="120">
        <v>155766</v>
      </c>
      <c r="E12" s="121">
        <f>_xlfn.XLOOKUP(tbl_Presidents[[#This Row],[Nom / Name]],Tableau_bonus[Nom],Tableau_bonus[Bonus %],0)*D12</f>
        <v>37383.839999999997</v>
      </c>
      <c r="F12" s="120">
        <f t="shared" si="2"/>
        <v>193149.84</v>
      </c>
      <c r="G12" s="122">
        <f t="shared" si="0"/>
        <v>0</v>
      </c>
      <c r="H12" s="120">
        <f t="shared" si="1"/>
        <v>193149.84</v>
      </c>
      <c r="I12" s="34"/>
      <c r="J12" s="34"/>
      <c r="K12" s="34"/>
      <c r="L12" s="34"/>
    </row>
    <row r="13" spans="1:20" ht="33.75">
      <c r="B13" s="10">
        <v>1987</v>
      </c>
      <c r="C13" s="5" t="s">
        <v>1041</v>
      </c>
      <c r="D13" s="120">
        <v>155124</v>
      </c>
      <c r="E13" s="121">
        <f>_xlfn.XLOOKUP(tbl_Presidents[[#This Row],[Nom / Name]],Tableau_bonus[Nom],Tableau_bonus[Bonus %],0)*D13</f>
        <v>35678.520000000004</v>
      </c>
      <c r="F13" s="120">
        <f t="shared" si="2"/>
        <v>190802.52000000002</v>
      </c>
      <c r="G13" s="122">
        <f t="shared" si="0"/>
        <v>0</v>
      </c>
      <c r="H13" s="120">
        <f t="shared" si="1"/>
        <v>190802.52000000002</v>
      </c>
      <c r="I13" s="34"/>
      <c r="J13" s="61" t="str" cm="1">
        <f t="array" ref="J13">TranslateMe(85)</f>
        <v>XLOOKUP with wildcard</v>
      </c>
      <c r="K13" s="61"/>
    </row>
    <row r="14" spans="1:20" ht="18.75">
      <c r="B14" s="10">
        <v>1988</v>
      </c>
      <c r="C14" s="5" t="s">
        <v>935</v>
      </c>
      <c r="D14" s="120">
        <v>155072</v>
      </c>
      <c r="E14" s="121">
        <f>_xlfn.XLOOKUP(tbl_Presidents[[#This Row],[Nom / Name]],Tableau_bonus[Nom],Tableau_bonus[Bonus %],0)*D14</f>
        <v>35666.560000000005</v>
      </c>
      <c r="F14" s="120">
        <f t="shared" si="2"/>
        <v>190738.56</v>
      </c>
      <c r="G14" s="122">
        <f t="shared" si="0"/>
        <v>0</v>
      </c>
      <c r="H14" s="120">
        <f t="shared" si="1"/>
        <v>190738.56</v>
      </c>
      <c r="I14" s="34"/>
      <c r="J14" s="68" t="s">
        <v>1042</v>
      </c>
    </row>
    <row r="15" spans="1:20" ht="23.25">
      <c r="B15" s="10">
        <v>1989</v>
      </c>
      <c r="C15" s="5" t="s">
        <v>1040</v>
      </c>
      <c r="D15" s="120">
        <v>156273</v>
      </c>
      <c r="E15" s="121">
        <f>_xlfn.XLOOKUP(tbl_Presidents[[#This Row],[Nom / Name]],Tableau_bonus[Nom],Tableau_bonus[Bonus %],0)*D15</f>
        <v>32817.33</v>
      </c>
      <c r="F15" s="120">
        <f t="shared" si="2"/>
        <v>189090.33000000002</v>
      </c>
      <c r="G15" s="122">
        <f t="shared" si="0"/>
        <v>0</v>
      </c>
      <c r="H15" s="120">
        <f t="shared" si="1"/>
        <v>189090.33000000002</v>
      </c>
      <c r="I15" s="34"/>
      <c r="J15" s="63">
        <f>_xlfn.XLOOKUP($J$14,tbl_Presidents[Nom / Name],tbl_Presidents[Année / Year],"not found",2)</f>
        <v>1993</v>
      </c>
      <c r="K15" s="24"/>
    </row>
    <row r="16" spans="1:20" ht="18.75">
      <c r="B16" s="10">
        <v>1990</v>
      </c>
      <c r="C16" s="5" t="s">
        <v>1043</v>
      </c>
      <c r="D16" s="120">
        <v>156720</v>
      </c>
      <c r="E16" s="121">
        <f>_xlfn.XLOOKUP(tbl_Presidents[[#This Row],[Nom / Name]],Tableau_bonus[Nom],Tableau_bonus[Bonus %],0)*D16</f>
        <v>31344</v>
      </c>
      <c r="F16" s="120">
        <f t="shared" si="2"/>
        <v>188064</v>
      </c>
      <c r="G16" s="122">
        <f t="shared" si="0"/>
        <v>0</v>
      </c>
      <c r="H16" s="120">
        <f t="shared" si="1"/>
        <v>188064</v>
      </c>
      <c r="I16" s="34"/>
      <c r="L16" s="26"/>
      <c r="M16" s="26"/>
      <c r="N16" s="26"/>
    </row>
    <row r="17" spans="2:15" ht="33.75">
      <c r="B17" s="10">
        <v>1991</v>
      </c>
      <c r="C17" s="5" t="s">
        <v>1033</v>
      </c>
      <c r="D17" s="120">
        <v>159548</v>
      </c>
      <c r="E17" s="121">
        <f>_xlfn.XLOOKUP(tbl_Presidents[[#This Row],[Nom / Name]],Tableau_bonus[Nom],Tableau_bonus[Bonus %],0)*D17</f>
        <v>30314.12</v>
      </c>
      <c r="F17" s="120">
        <f t="shared" si="2"/>
        <v>189862.12</v>
      </c>
      <c r="G17" s="122">
        <f t="shared" si="0"/>
        <v>0</v>
      </c>
      <c r="H17" s="120">
        <f t="shared" si="1"/>
        <v>189862.12</v>
      </c>
      <c r="I17" s="34"/>
      <c r="J17" s="61" t="str" cm="1">
        <f t="array" ref="J17">TranslateMe(87)</f>
        <v>Search Mode</v>
      </c>
      <c r="K17" s="61"/>
      <c r="L17" s="125" t="s">
        <v>1044</v>
      </c>
      <c r="M17" s="61"/>
    </row>
    <row r="18" spans="2:15" ht="18.75">
      <c r="B18" s="10">
        <v>1992</v>
      </c>
      <c r="C18" s="5" t="s">
        <v>1045</v>
      </c>
      <c r="D18" s="120">
        <v>157848</v>
      </c>
      <c r="E18" s="121">
        <f>_xlfn.XLOOKUP(tbl_Presidents[[#This Row],[Nom / Name]],Tableau_bonus[Nom],Tableau_bonus[Bonus %],0)*D18</f>
        <v>28412.639999999999</v>
      </c>
      <c r="F18" s="120">
        <f t="shared" si="2"/>
        <v>186260.64</v>
      </c>
      <c r="G18" s="122">
        <f t="shared" si="0"/>
        <v>0</v>
      </c>
      <c r="H18" s="120">
        <f t="shared" si="1"/>
        <v>186260.64</v>
      </c>
      <c r="I18" s="34"/>
      <c r="J18" s="68" t="s">
        <v>951</v>
      </c>
      <c r="K18" s="68" t="s">
        <v>951</v>
      </c>
    </row>
    <row r="19" spans="2:15" ht="18.75">
      <c r="B19" s="10">
        <v>1993</v>
      </c>
      <c r="C19" s="5" t="s">
        <v>1046</v>
      </c>
      <c r="D19" s="120">
        <v>160322</v>
      </c>
      <c r="E19" s="121">
        <f>_xlfn.XLOOKUP(tbl_Presidents[[#This Row],[Nom / Name]],Tableau_bonus[Nom],Tableau_bonus[Bonus %],0)*D19</f>
        <v>28857.96</v>
      </c>
      <c r="F19" s="120">
        <f t="shared" si="2"/>
        <v>189179.96</v>
      </c>
      <c r="G19" s="122">
        <f t="shared" si="0"/>
        <v>8016.1</v>
      </c>
      <c r="H19" s="120">
        <f t="shared" si="1"/>
        <v>197196.06</v>
      </c>
      <c r="I19" s="34"/>
      <c r="J19" s="68" t="s">
        <v>1047</v>
      </c>
      <c r="K19" s="68" t="s">
        <v>1047</v>
      </c>
      <c r="L19" s="3" t="s">
        <v>1048</v>
      </c>
    </row>
    <row r="20" spans="2:15" ht="23.25">
      <c r="B20" s="10">
        <v>1994</v>
      </c>
      <c r="C20" s="5" t="s">
        <v>1049</v>
      </c>
      <c r="D20" s="120">
        <v>157868</v>
      </c>
      <c r="E20" s="121">
        <f>_xlfn.XLOOKUP(tbl_Presidents[[#This Row],[Nom / Name]],Tableau_bonus[Nom],Tableau_bonus[Bonus %],0)*D20</f>
        <v>26837.56</v>
      </c>
      <c r="F20" s="120">
        <f t="shared" si="2"/>
        <v>184705.56</v>
      </c>
      <c r="G20" s="122">
        <f t="shared" si="0"/>
        <v>0</v>
      </c>
      <c r="H20" s="120">
        <f t="shared" si="1"/>
        <v>184705.56</v>
      </c>
      <c r="I20" s="34"/>
      <c r="J20" s="63">
        <f>_xlfn.XLOOKUP($J$18,tbl_Presidents[Nom / Name],tbl_Presidents[Année / Year])</f>
        <v>2007</v>
      </c>
      <c r="K20" s="63">
        <f>_xlfn.XLOOKUP($K$18,tbl_Presidents[Nom / Name],tbl_Presidents[Année / Year],,0,-1)</f>
        <v>2011</v>
      </c>
      <c r="L20" s="3" t="s">
        <v>1050</v>
      </c>
    </row>
    <row r="21" spans="2:15" ht="18.75">
      <c r="B21" s="10">
        <v>1995</v>
      </c>
      <c r="C21" s="5" t="s">
        <v>935</v>
      </c>
      <c r="D21" s="120">
        <v>161565</v>
      </c>
      <c r="E21" s="121">
        <f>_xlfn.XLOOKUP(tbl_Presidents[[#This Row],[Nom / Name]],Tableau_bonus[Nom],Tableau_bonus[Bonus %],0)*D21</f>
        <v>37159.950000000004</v>
      </c>
      <c r="F21" s="120">
        <f t="shared" si="2"/>
        <v>198724.95</v>
      </c>
      <c r="G21" s="122">
        <f t="shared" si="0"/>
        <v>8078.25</v>
      </c>
      <c r="H21" s="120">
        <f t="shared" si="1"/>
        <v>206803.20000000001</v>
      </c>
      <c r="I21" s="34"/>
    </row>
    <row r="22" spans="2:15" ht="18.75">
      <c r="B22" s="10">
        <v>1996</v>
      </c>
      <c r="C22" s="5" t="s">
        <v>1043</v>
      </c>
      <c r="D22" s="120">
        <v>164816</v>
      </c>
      <c r="E22" s="121">
        <f>_xlfn.XLOOKUP(tbl_Presidents[[#This Row],[Nom / Name]],Tableau_bonus[Nom],Tableau_bonus[Bonus %],0)*D22</f>
        <v>32963.200000000004</v>
      </c>
      <c r="F22" s="120">
        <f t="shared" si="2"/>
        <v>197779.20000000001</v>
      </c>
      <c r="G22" s="122">
        <f t="shared" si="0"/>
        <v>8240.8000000000011</v>
      </c>
      <c r="H22" s="120">
        <f t="shared" si="1"/>
        <v>206020</v>
      </c>
      <c r="I22" s="34"/>
    </row>
    <row r="23" spans="2:15" ht="33.75">
      <c r="B23" s="10">
        <v>1997</v>
      </c>
      <c r="C23" s="5" t="s">
        <v>1043</v>
      </c>
      <c r="D23" s="120">
        <v>159673</v>
      </c>
      <c r="E23" s="121">
        <f>_xlfn.XLOOKUP(tbl_Presidents[[#This Row],[Nom / Name]],Tableau_bonus[Nom],Tableau_bonus[Bonus %],0)*D23</f>
        <v>31934.600000000002</v>
      </c>
      <c r="F23" s="120">
        <f t="shared" si="2"/>
        <v>191607.6</v>
      </c>
      <c r="G23" s="122">
        <f t="shared" si="0"/>
        <v>0</v>
      </c>
      <c r="H23" s="120">
        <f t="shared" si="1"/>
        <v>191607.6</v>
      </c>
      <c r="I23" s="34"/>
      <c r="J23" s="61" t="str" cm="1">
        <f t="array" ref="J23">TranslateMe(88)</f>
        <v>2 way XLOOKUP</v>
      </c>
      <c r="K23" s="61"/>
      <c r="M23" s="61" t="str" cm="1">
        <f t="array" ref="M23">TranslateMe(88)</f>
        <v>2 way XLOOKUP</v>
      </c>
      <c r="N23" s="61"/>
      <c r="O23" s="61"/>
    </row>
    <row r="24" spans="2:15" ht="18.75">
      <c r="B24" s="10">
        <v>1998</v>
      </c>
      <c r="C24" s="5" t="s">
        <v>1033</v>
      </c>
      <c r="D24" s="120">
        <v>165048</v>
      </c>
      <c r="E24" s="121">
        <f>_xlfn.XLOOKUP(tbl_Presidents[[#This Row],[Nom / Name]],Tableau_bonus[Nom],Tableau_bonus[Bonus %],0)*D24</f>
        <v>31359.119999999999</v>
      </c>
      <c r="F24" s="120">
        <f t="shared" ref="F24:F50" si="3">D24+E24</f>
        <v>196407.12</v>
      </c>
      <c r="G24" s="122">
        <f t="shared" si="0"/>
        <v>8252.4</v>
      </c>
      <c r="H24" s="120">
        <f t="shared" ref="H24:H50" si="4">SUM(F24:G24)</f>
        <v>204659.52</v>
      </c>
      <c r="I24" s="34"/>
      <c r="J24" s="68" t="s">
        <v>935</v>
      </c>
      <c r="M24" s="68" t="s">
        <v>1036</v>
      </c>
      <c r="N24" s="68" t="s">
        <v>935</v>
      </c>
      <c r="O24" s="68" t="s">
        <v>1040</v>
      </c>
    </row>
    <row r="25" spans="2:15" ht="18.75">
      <c r="B25" s="10">
        <v>1999</v>
      </c>
      <c r="C25" s="5" t="s">
        <v>1051</v>
      </c>
      <c r="D25" s="120">
        <v>166454</v>
      </c>
      <c r="E25" s="121">
        <f>_xlfn.XLOOKUP(tbl_Presidents[[#This Row],[Nom / Name]],Tableau_bonus[Nom],Tableau_bonus[Bonus %],0)*D25</f>
        <v>36619.879999999997</v>
      </c>
      <c r="F25" s="120">
        <f t="shared" si="3"/>
        <v>203073.88</v>
      </c>
      <c r="G25" s="122">
        <f t="shared" si="0"/>
        <v>8322.7000000000007</v>
      </c>
      <c r="H25" s="120">
        <f t="shared" si="4"/>
        <v>211396.58000000002</v>
      </c>
      <c r="I25" s="34"/>
      <c r="J25" s="68" t="s">
        <v>1031</v>
      </c>
      <c r="M25" s="68" t="s">
        <v>1031</v>
      </c>
    </row>
    <row r="26" spans="2:15" ht="23.25">
      <c r="B26" s="10">
        <v>2000</v>
      </c>
      <c r="C26" s="5" t="s">
        <v>1046</v>
      </c>
      <c r="D26" s="120">
        <v>160740</v>
      </c>
      <c r="E26" s="121">
        <f>_xlfn.XLOOKUP(tbl_Presidents[[#This Row],[Nom / Name]],Tableau_bonus[Nom],Tableau_bonus[Bonus %],0)*D26</f>
        <v>28933.200000000001</v>
      </c>
      <c r="F26" s="120">
        <f t="shared" si="3"/>
        <v>189673.2</v>
      </c>
      <c r="G26" s="122">
        <f t="shared" si="0"/>
        <v>8037</v>
      </c>
      <c r="H26" s="120">
        <f t="shared" si="4"/>
        <v>197710.2</v>
      </c>
      <c r="I26" s="34"/>
      <c r="J26" s="63" cm="1">
        <f t="array" ref="J26">_xlfn.XLOOKUP($J$24,$C$6:$C$50,_xlfn.XLOOKUP($J$25,$D$5:$F$5,$D$6:$F$50))</f>
        <v>190738.56</v>
      </c>
      <c r="M26" s="63" cm="1">
        <f t="array" ref="M26:O26">_xlfn.XLOOKUP(M24:O24,$C$6:$C$50,_xlfn.XLOOKUP($M$25,$D$5:$F$5,$D$6:$F$50))</f>
        <v>189530</v>
      </c>
      <c r="N26" s="63">
        <v>190738.56</v>
      </c>
      <c r="O26" s="63">
        <v>189090.33000000002</v>
      </c>
    </row>
    <row r="27" spans="2:15" ht="18.75">
      <c r="B27" s="10">
        <v>2001</v>
      </c>
      <c r="C27" s="5" t="s">
        <v>1052</v>
      </c>
      <c r="D27" s="120">
        <v>162411</v>
      </c>
      <c r="E27" s="121">
        <f>_xlfn.XLOOKUP(tbl_Presidents[[#This Row],[Nom / Name]],Tableau_bonus[Nom],Tableau_bonus[Bonus %],0)*D27</f>
        <v>40602.75</v>
      </c>
      <c r="F27" s="120">
        <f t="shared" si="3"/>
        <v>203013.75</v>
      </c>
      <c r="G27" s="122">
        <f t="shared" si="0"/>
        <v>8120.55</v>
      </c>
      <c r="H27" s="120">
        <f t="shared" si="4"/>
        <v>211134.3</v>
      </c>
      <c r="I27" s="34"/>
      <c r="J27" s="24" t="str">
        <f ca="1">_xlfn.FORMULATEXT(J26)</f>
        <v>=RECHERCHEX($J$24;$C$6:$C$50;RECHERCHEX($J$25;$D$5:$F$5;$D$6:$F$50))</v>
      </c>
      <c r="M27" s="24" t="str">
        <f ca="1">_xlfn.FORMULATEXT(M26)</f>
        <v>=RECHERCHEX(M24:O24;$C$6:$C$50;RECHERCHEX($M$25;$D$5:$F$5;$D$6:$F$50))</v>
      </c>
    </row>
    <row r="28" spans="2:15" ht="18.75">
      <c r="B28" s="10">
        <v>2002</v>
      </c>
      <c r="C28" s="5" t="s">
        <v>1049</v>
      </c>
      <c r="D28" s="120">
        <v>166104</v>
      </c>
      <c r="E28" s="121">
        <f>_xlfn.XLOOKUP(tbl_Presidents[[#This Row],[Nom / Name]],Tableau_bonus[Nom],Tableau_bonus[Bonus %],0)*D28</f>
        <v>28237.68</v>
      </c>
      <c r="F28" s="120">
        <f t="shared" si="3"/>
        <v>194341.68</v>
      </c>
      <c r="G28" s="122">
        <f t="shared" si="0"/>
        <v>8305.2000000000007</v>
      </c>
      <c r="H28" s="120">
        <f t="shared" si="4"/>
        <v>202646.88</v>
      </c>
      <c r="I28" s="34"/>
      <c r="J28" s="24"/>
      <c r="M28" s="24"/>
    </row>
    <row r="29" spans="2:15" ht="33.75">
      <c r="B29" s="10">
        <v>2003</v>
      </c>
      <c r="C29" s="5" t="s">
        <v>923</v>
      </c>
      <c r="D29" s="120">
        <v>171827</v>
      </c>
      <c r="E29" s="121">
        <f>_xlfn.XLOOKUP(tbl_Presidents[[#This Row],[Nom / Name]],Tableau_bonus[Nom],Tableau_bonus[Bonus %],0)*D29</f>
        <v>42956.75</v>
      </c>
      <c r="F29" s="120">
        <f t="shared" si="3"/>
        <v>214783.75</v>
      </c>
      <c r="G29" s="122">
        <f t="shared" si="0"/>
        <v>13746.16</v>
      </c>
      <c r="H29" s="120">
        <f t="shared" si="4"/>
        <v>228529.91</v>
      </c>
      <c r="I29" s="34"/>
      <c r="J29" s="61" t="str" cm="1">
        <f t="array" ref="J29">TranslateMe(95)</f>
        <v>XLOOKUP with 2 lookup values</v>
      </c>
      <c r="K29" s="61"/>
      <c r="L29" s="61"/>
      <c r="M29" s="24"/>
    </row>
    <row r="30" spans="2:15" ht="18.75">
      <c r="B30" s="10">
        <v>2004</v>
      </c>
      <c r="C30" s="5" t="s">
        <v>1053</v>
      </c>
      <c r="D30" s="120">
        <v>170496</v>
      </c>
      <c r="E30" s="121">
        <f>_xlfn.XLOOKUP(tbl_Presidents[[#This Row],[Nom / Name]],Tableau_bonus[Nom],Tableau_bonus[Bonus %],0)*D30</f>
        <v>40919.040000000001</v>
      </c>
      <c r="F30" s="120">
        <f t="shared" si="3"/>
        <v>211415.04000000001</v>
      </c>
      <c r="G30" s="122">
        <f t="shared" si="0"/>
        <v>13639.68</v>
      </c>
      <c r="H30" s="120">
        <f t="shared" si="4"/>
        <v>225054.72</v>
      </c>
      <c r="I30" s="34"/>
      <c r="J30" s="68" t="s">
        <v>923</v>
      </c>
      <c r="M30" s="24"/>
    </row>
    <row r="31" spans="2:15" ht="18.75">
      <c r="B31" s="10">
        <v>2005</v>
      </c>
      <c r="C31" s="5" t="s">
        <v>1054</v>
      </c>
      <c r="D31" s="120">
        <v>170900</v>
      </c>
      <c r="E31" s="121">
        <f>_xlfn.XLOOKUP(tbl_Presidents[[#This Row],[Nom / Name]],Tableau_bonus[Nom],Tableau_bonus[Bonus %],0)*D31</f>
        <v>41016</v>
      </c>
      <c r="F31" s="120">
        <f t="shared" si="3"/>
        <v>211916</v>
      </c>
      <c r="G31" s="122">
        <f t="shared" si="0"/>
        <v>13672</v>
      </c>
      <c r="H31" s="120">
        <f t="shared" si="4"/>
        <v>225588</v>
      </c>
      <c r="I31" s="34"/>
      <c r="J31" s="68">
        <v>2008</v>
      </c>
      <c r="M31" s="24"/>
    </row>
    <row r="32" spans="2:15" ht="23.25">
      <c r="B32" s="10">
        <v>2006</v>
      </c>
      <c r="C32" s="5" t="s">
        <v>1052</v>
      </c>
      <c r="D32" s="120">
        <v>163754</v>
      </c>
      <c r="E32" s="121">
        <f>_xlfn.XLOOKUP(tbl_Presidents[[#This Row],[Nom / Name]],Tableau_bonus[Nom],Tableau_bonus[Bonus %],0)*D32</f>
        <v>40938.5</v>
      </c>
      <c r="F32" s="120">
        <f t="shared" si="3"/>
        <v>204692.5</v>
      </c>
      <c r="G32" s="122">
        <f t="shared" si="0"/>
        <v>8187.7000000000007</v>
      </c>
      <c r="H32" s="120">
        <f t="shared" si="4"/>
        <v>212880.2</v>
      </c>
      <c r="I32" s="34"/>
      <c r="J32" s="63" cm="1">
        <f t="array" ref="J32">_xlfn.XLOOKUP($J$30&amp;$J$31,tbl_Presidents[Nom / Name]&amp;tbl_Presidents[Année / Year],tbl_Presidents[Total])</f>
        <v>233984.24</v>
      </c>
      <c r="K32" s="63" cm="1">
        <f t="array" ref="K32">_xlfn.XLOOKUP(1,(tbl_Presidents[Nom / Name]=$J$30)*(tbl_Presidents[Année / Year]=$J$31),tbl_Presidents[Total])</f>
        <v>233984.24</v>
      </c>
      <c r="L32" s="24" t="str">
        <f ca="1">_xlfn.FORMULATEXT(K32)</f>
        <v>=RECHERCHEX(1;(tbl_Presidents[Nom / Name]=$J$30)*(tbl_Presidents[Année / Year]=$J$31);tbl_Presidents[Total])</v>
      </c>
    </row>
    <row r="33" spans="2:16" ht="18.75">
      <c r="B33" s="10">
        <v>2007</v>
      </c>
      <c r="C33" s="5" t="s">
        <v>951</v>
      </c>
      <c r="D33" s="120">
        <v>176919</v>
      </c>
      <c r="E33" s="121">
        <f>_xlfn.XLOOKUP(tbl_Presidents[[#This Row],[Nom / Name]],Tableau_bonus[Nom],Tableau_bonus[Bonus %],0)*D33</f>
        <v>40691.370000000003</v>
      </c>
      <c r="F33" s="120">
        <f t="shared" si="3"/>
        <v>217610.37</v>
      </c>
      <c r="G33" s="122">
        <f t="shared" si="0"/>
        <v>14153.52</v>
      </c>
      <c r="H33" s="120">
        <f t="shared" si="4"/>
        <v>231763.88999999998</v>
      </c>
      <c r="I33" s="34"/>
      <c r="J33" s="24" t="str">
        <f ca="1">_xlfn.FORMULATEXT(J32)</f>
        <v>=RECHERCHEX($J$30&amp;$J$31;tbl_Presidents[Nom / Name]&amp;tbl_Presidents[Année / Year];tbl_Presidents[Total])</v>
      </c>
    </row>
    <row r="34" spans="2:16" ht="18.75">
      <c r="B34" s="10">
        <v>2008</v>
      </c>
      <c r="C34" s="5" t="s">
        <v>923</v>
      </c>
      <c r="D34" s="120">
        <v>175928</v>
      </c>
      <c r="E34" s="121">
        <f>_xlfn.XLOOKUP(tbl_Presidents[[#This Row],[Nom / Name]],Tableau_bonus[Nom],Tableau_bonus[Bonus %],0)*D34</f>
        <v>43982</v>
      </c>
      <c r="F34" s="120">
        <f t="shared" si="3"/>
        <v>219910</v>
      </c>
      <c r="G34" s="122">
        <f t="shared" si="0"/>
        <v>14074.24</v>
      </c>
      <c r="H34" s="120">
        <f t="shared" si="4"/>
        <v>233984.24</v>
      </c>
      <c r="I34" s="34"/>
    </row>
    <row r="35" spans="2:16" ht="33.75">
      <c r="B35" s="10">
        <v>2009</v>
      </c>
      <c r="C35" s="5" t="s">
        <v>1055</v>
      </c>
      <c r="D35" s="120">
        <v>174592</v>
      </c>
      <c r="E35" s="121">
        <f>_xlfn.XLOOKUP(tbl_Presidents[[#This Row],[Nom / Name]],Tableau_bonus[Nom],Tableau_bonus[Bonus %],0)*D35</f>
        <v>34918.400000000001</v>
      </c>
      <c r="F35" s="120">
        <f t="shared" si="3"/>
        <v>209510.39999999999</v>
      </c>
      <c r="G35" s="122">
        <f t="shared" si="0"/>
        <v>13967.36</v>
      </c>
      <c r="H35" s="120">
        <f t="shared" si="4"/>
        <v>223477.76000000001</v>
      </c>
      <c r="I35" s="34"/>
      <c r="J35" s="61" t="str" cm="1">
        <f t="array" ref="J35">TranslateMe(89)</f>
        <v>TOP 3</v>
      </c>
      <c r="K35" s="61"/>
      <c r="M35" s="61" t="str" cm="1">
        <f t="array" ref="M35">TranslateMe(90)</f>
        <v>Summing with XLOOKUP</v>
      </c>
      <c r="N35" s="61"/>
    </row>
    <row r="36" spans="2:16" ht="23.25">
      <c r="B36" s="10">
        <v>2010</v>
      </c>
      <c r="C36" s="5" t="s">
        <v>1056</v>
      </c>
      <c r="D36" s="120">
        <v>177180</v>
      </c>
      <c r="E36" s="121">
        <f>_xlfn.XLOOKUP(tbl_Presidents[[#This Row],[Nom / Name]],Tableau_bonus[Nom],Tableau_bonus[Bonus %],0)*D36</f>
        <v>33664.199999999997</v>
      </c>
      <c r="F36" s="120">
        <f t="shared" si="3"/>
        <v>210844.2</v>
      </c>
      <c r="G36" s="122">
        <f t="shared" si="0"/>
        <v>14174.4</v>
      </c>
      <c r="H36" s="120">
        <f t="shared" si="4"/>
        <v>225018.6</v>
      </c>
      <c r="I36" s="34"/>
      <c r="J36" s="63" cm="1">
        <f t="array" ref="J36:J38">LARGE($H$6:$H$50,_xlfn.SEQUENCE(3))</f>
        <v>254240.88</v>
      </c>
      <c r="K36" s="63" t="str" cm="1">
        <f t="array" aca="1" ref="K36:K38" ca="1">_xlfn.XLOOKUP(_xlfn.ANCHORARRAY($J$36),$H$6:$H$50,tbl_Presidents[Nom / Name]:tbl_Presidents[Base])</f>
        <v>Ignazio Cassis</v>
      </c>
      <c r="M36" s="68">
        <v>1990</v>
      </c>
    </row>
    <row r="37" spans="2:16" ht="23.25">
      <c r="B37" s="10">
        <v>2011</v>
      </c>
      <c r="C37" s="5" t="s">
        <v>951</v>
      </c>
      <c r="D37" s="120">
        <v>166802</v>
      </c>
      <c r="E37" s="121">
        <f>_xlfn.XLOOKUP(tbl_Presidents[[#This Row],[Nom / Name]],Tableau_bonus[Nom],Tableau_bonus[Bonus %],0)*D37</f>
        <v>38364.46</v>
      </c>
      <c r="F37" s="120">
        <f t="shared" si="3"/>
        <v>205166.46</v>
      </c>
      <c r="G37" s="122">
        <f t="shared" si="0"/>
        <v>8340.1</v>
      </c>
      <c r="H37" s="120">
        <f t="shared" si="4"/>
        <v>213506.56</v>
      </c>
      <c r="I37" s="34"/>
      <c r="J37" s="63">
        <v>239893.56</v>
      </c>
      <c r="K37" s="63" t="str">
        <f ca="1"/>
        <v>Doris Leuthard</v>
      </c>
      <c r="M37" s="68">
        <v>2000</v>
      </c>
    </row>
    <row r="38" spans="2:16" ht="23.25">
      <c r="B38" s="10">
        <v>2012</v>
      </c>
      <c r="C38" s="5" t="s">
        <v>1057</v>
      </c>
      <c r="D38" s="120">
        <v>174000</v>
      </c>
      <c r="E38" s="121">
        <f>_xlfn.XLOOKUP(tbl_Presidents[[#This Row],[Nom / Name]],Tableau_bonus[Nom],Tableau_bonus[Bonus %],0)*D38</f>
        <v>31320</v>
      </c>
      <c r="F38" s="120">
        <f t="shared" si="3"/>
        <v>205320</v>
      </c>
      <c r="G38" s="122">
        <f t="shared" si="0"/>
        <v>13920</v>
      </c>
      <c r="H38" s="120">
        <f t="shared" si="4"/>
        <v>219240</v>
      </c>
      <c r="I38" s="34"/>
      <c r="J38" s="63">
        <v>236670.19999999998</v>
      </c>
      <c r="K38" s="63" t="str">
        <f ca="1"/>
        <v>Alain Berset</v>
      </c>
      <c r="M38" s="63">
        <f ca="1">SUM(_xlfn.XLOOKUP(M36,tbl_Presidents[Année / Year],tbl_Presidents[Total]):_xlfn.XLOOKUP(M37,tbl_Presidents[Année / Year],tbl_Presidents[Total]))</f>
        <v>2164285.4800000004</v>
      </c>
      <c r="N38">
        <f>SUMIFS(tbl_Presidents[Total],tbl_Presidents[Année / Year],"&gt;=1990",tbl_Presidents[Année / Year],"&lt; 2001")</f>
        <v>2164285.4800000004</v>
      </c>
    </row>
    <row r="39" spans="2:16" ht="18.75">
      <c r="B39" s="10">
        <v>2013</v>
      </c>
      <c r="C39" s="5" t="s">
        <v>928</v>
      </c>
      <c r="D39" s="120">
        <v>179370</v>
      </c>
      <c r="E39" s="121">
        <f>_xlfn.XLOOKUP(tbl_Presidents[[#This Row],[Nom / Name]],Tableau_bonus[Nom],Tableau_bonus[Bonus %],0)*D39</f>
        <v>30492.9</v>
      </c>
      <c r="F39" s="120">
        <f t="shared" si="3"/>
        <v>209862.9</v>
      </c>
      <c r="G39" s="122">
        <f t="shared" si="0"/>
        <v>14349.6</v>
      </c>
      <c r="H39" s="120">
        <f t="shared" si="4"/>
        <v>224212.5</v>
      </c>
      <c r="I39" s="34"/>
    </row>
    <row r="40" spans="2:16" ht="23.25" customHeight="1">
      <c r="B40" s="10">
        <v>2014</v>
      </c>
      <c r="C40" s="5" t="s">
        <v>1058</v>
      </c>
      <c r="D40" s="120">
        <v>176792</v>
      </c>
      <c r="E40" s="121">
        <f>_xlfn.XLOOKUP(tbl_Presidents[[#This Row],[Nom / Name]],Tableau_bonus[Nom],Tableau_bonus[Bonus %],0)*D40</f>
        <v>24750.880000000001</v>
      </c>
      <c r="F40" s="120">
        <f t="shared" si="3"/>
        <v>201542.88</v>
      </c>
      <c r="G40" s="122">
        <f t="shared" si="0"/>
        <v>14143.36</v>
      </c>
      <c r="H40" s="120">
        <f t="shared" si="4"/>
        <v>215686.24</v>
      </c>
      <c r="I40" s="34"/>
      <c r="K40" s="24" t="str">
        <f ca="1">_xlfn.FORMULATEXT(K36)</f>
        <v>=RECHERCHEX($J$36#;$H$6:$H$50;tbl_Presidents[Nom / Name]:tbl_Presidents[Base])</v>
      </c>
    </row>
    <row r="41" spans="2:16" ht="18.75">
      <c r="B41" s="10">
        <v>2015</v>
      </c>
      <c r="C41" s="5" t="s">
        <v>947</v>
      </c>
      <c r="D41" s="120">
        <v>182550</v>
      </c>
      <c r="E41" s="121">
        <f>_xlfn.XLOOKUP(tbl_Presidents[[#This Row],[Nom / Name]],Tableau_bonus[Nom],Tableau_bonus[Bonus %],0)*D41</f>
        <v>25557.000000000004</v>
      </c>
      <c r="F41" s="120">
        <f t="shared" si="3"/>
        <v>208107</v>
      </c>
      <c r="G41" s="122">
        <f t="shared" si="0"/>
        <v>18255</v>
      </c>
      <c r="H41" s="120">
        <f t="shared" si="4"/>
        <v>226362</v>
      </c>
      <c r="I41" s="34"/>
      <c r="K41" s="60" t="str" cm="1">
        <f t="array" ref="K41">TranslateMe(91)</f>
        <v>Notice that if the 1st argument of XLOOKUP is a matrix, only one column is returned</v>
      </c>
      <c r="L41" s="60"/>
      <c r="M41" s="60"/>
    </row>
    <row r="42" spans="2:16" ht="18.75">
      <c r="B42" s="10">
        <v>2016</v>
      </c>
      <c r="C42" s="5" t="s">
        <v>1059</v>
      </c>
      <c r="D42" s="120">
        <v>173832</v>
      </c>
      <c r="E42" s="121">
        <f>_xlfn.XLOOKUP(tbl_Presidents[[#This Row],[Nom / Name]],Tableau_bonus[Nom],Tableau_bonus[Bonus %],0)*D42</f>
        <v>38243.040000000001</v>
      </c>
      <c r="F42" s="120">
        <f t="shared" si="3"/>
        <v>212075.04</v>
      </c>
      <c r="G42" s="122">
        <f t="shared" si="0"/>
        <v>13906.56</v>
      </c>
      <c r="H42" s="120">
        <f t="shared" si="4"/>
        <v>225981.6</v>
      </c>
      <c r="I42" s="34"/>
    </row>
    <row r="43" spans="2:16" ht="33.75">
      <c r="B43" s="10">
        <v>2017</v>
      </c>
      <c r="C43" s="5" t="s">
        <v>1056</v>
      </c>
      <c r="D43" s="120">
        <v>185964</v>
      </c>
      <c r="E43" s="121">
        <f>_xlfn.XLOOKUP(tbl_Presidents[[#This Row],[Nom / Name]],Tableau_bonus[Nom],Tableau_bonus[Bonus %],0)*D43</f>
        <v>35333.160000000003</v>
      </c>
      <c r="F43" s="120">
        <f t="shared" si="3"/>
        <v>221297.16</v>
      </c>
      <c r="G43" s="122">
        <f t="shared" si="0"/>
        <v>18596.400000000001</v>
      </c>
      <c r="H43" s="120">
        <f t="shared" si="4"/>
        <v>239893.56</v>
      </c>
      <c r="I43" s="34"/>
      <c r="J43" s="61" t="str" cm="1">
        <f t="array" ref="J43">TranslateMe(92)</f>
        <v>Approximate match</v>
      </c>
      <c r="K43" s="61"/>
      <c r="L43" s="61"/>
      <c r="M43" s="61"/>
      <c r="N43" s="61" t="s">
        <v>1060</v>
      </c>
      <c r="O43" s="61"/>
      <c r="P43" s="61"/>
    </row>
    <row r="44" spans="2:16" ht="23.25">
      <c r="B44" s="10">
        <v>2018</v>
      </c>
      <c r="C44" s="5" t="s">
        <v>1061</v>
      </c>
      <c r="D44" s="120">
        <v>180820</v>
      </c>
      <c r="E44" s="121">
        <f>_xlfn.XLOOKUP(tbl_Presidents[[#This Row],[Nom / Name]],Tableau_bonus[Nom],Tableau_bonus[Bonus %],0)*D44</f>
        <v>36164</v>
      </c>
      <c r="F44" s="120">
        <f t="shared" si="3"/>
        <v>216984</v>
      </c>
      <c r="G44" s="122">
        <f t="shared" si="0"/>
        <v>18082</v>
      </c>
      <c r="H44" s="120">
        <f t="shared" si="4"/>
        <v>235066</v>
      </c>
      <c r="I44" s="34"/>
      <c r="J44" s="68" t="s">
        <v>1059</v>
      </c>
      <c r="K44" s="124" cm="1">
        <f t="array" ref="K44:K46">_xlfn.XLOOKUP($J$44:$J$46,$C$6:$C$50,$D$6:$D$50,,,-1)</f>
        <v>173832</v>
      </c>
      <c r="L44" s="64" cm="1">
        <f t="array" ref="L44:L46">_xlfn.XLOOKUP(_xlfn.ANCHORARRAY($K$44),$G$56:$G$60,$H$56:$H$60,,-1)</f>
        <v>0.08</v>
      </c>
      <c r="N44" s="3" t="s">
        <v>1062</v>
      </c>
    </row>
    <row r="45" spans="2:16" ht="23.25">
      <c r="B45" s="10">
        <v>2019</v>
      </c>
      <c r="C45" s="5" t="s">
        <v>928</v>
      </c>
      <c r="D45" s="120">
        <v>182058</v>
      </c>
      <c r="E45" s="121">
        <f>_xlfn.XLOOKUP(tbl_Presidents[[#This Row],[Nom / Name]],Tableau_bonus[Nom],Tableau_bonus[Bonus %],0)*D45</f>
        <v>30949.86</v>
      </c>
      <c r="F45" s="120">
        <f t="shared" si="3"/>
        <v>213007.86</v>
      </c>
      <c r="G45" s="122">
        <f t="shared" si="0"/>
        <v>18205.8</v>
      </c>
      <c r="H45" s="120">
        <f t="shared" si="4"/>
        <v>231213.65999999997</v>
      </c>
      <c r="I45" s="34"/>
      <c r="J45" s="68" t="s">
        <v>935</v>
      </c>
      <c r="K45" s="124">
        <v>161565</v>
      </c>
      <c r="L45" s="64">
        <v>0.05</v>
      </c>
      <c r="N45" s="3" t="s">
        <v>1063</v>
      </c>
    </row>
    <row r="46" spans="2:16" ht="23.25">
      <c r="B46" s="10">
        <v>2020</v>
      </c>
      <c r="C46" s="5" t="s">
        <v>947</v>
      </c>
      <c r="D46" s="120">
        <v>181800</v>
      </c>
      <c r="E46" s="121">
        <f>_xlfn.XLOOKUP(tbl_Presidents[[#This Row],[Nom / Name]],Tableau_bonus[Nom],Tableau_bonus[Bonus %],0)*D46</f>
        <v>25452.000000000004</v>
      </c>
      <c r="F46" s="120">
        <f t="shared" si="3"/>
        <v>207252</v>
      </c>
      <c r="G46" s="122">
        <f t="shared" si="0"/>
        <v>18180</v>
      </c>
      <c r="H46" s="120">
        <f t="shared" si="4"/>
        <v>225432</v>
      </c>
      <c r="I46" s="34"/>
      <c r="J46" s="68" t="s">
        <v>1064</v>
      </c>
      <c r="K46" s="124">
        <v>181680</v>
      </c>
      <c r="L46" s="64">
        <v>0.1</v>
      </c>
      <c r="N46" s="3" t="s">
        <v>1065</v>
      </c>
    </row>
    <row r="47" spans="2:16" ht="18.75">
      <c r="B47" s="10">
        <v>2021</v>
      </c>
      <c r="C47" s="5" t="s">
        <v>941</v>
      </c>
      <c r="D47" s="120">
        <v>174600</v>
      </c>
      <c r="E47" s="121">
        <f>_xlfn.XLOOKUP(tbl_Presidents[[#This Row],[Nom / Name]],Tableau_bonus[Nom],Tableau_bonus[Bonus %],0)*D47</f>
        <v>41904</v>
      </c>
      <c r="F47" s="120">
        <f t="shared" si="3"/>
        <v>216504</v>
      </c>
      <c r="G47" s="122">
        <f t="shared" si="0"/>
        <v>13968</v>
      </c>
      <c r="H47" s="120">
        <f t="shared" si="4"/>
        <v>230472</v>
      </c>
      <c r="I47" s="34"/>
      <c r="L47" s="24" t="str">
        <f ca="1">_xlfn.FORMULATEXT(L44)</f>
        <v>=RECHERCHEX($K$44#;$G$56:$G$60;$H$56:$H$60;;-1)</v>
      </c>
      <c r="N47" s="3" t="s">
        <v>1066</v>
      </c>
    </row>
    <row r="48" spans="2:16" ht="18.75">
      <c r="B48" s="10">
        <v>2022</v>
      </c>
      <c r="C48" s="5" t="s">
        <v>933</v>
      </c>
      <c r="D48" s="120">
        <v>189732</v>
      </c>
      <c r="E48" s="121">
        <f>_xlfn.XLOOKUP(tbl_Presidents[[#This Row],[Nom / Name]],Tableau_bonus[Nom],Tableau_bonus[Bonus %],0)*D48</f>
        <v>45535.68</v>
      </c>
      <c r="F48" s="120">
        <f t="shared" si="3"/>
        <v>235267.68</v>
      </c>
      <c r="G48" s="122">
        <f t="shared" si="0"/>
        <v>18973.2</v>
      </c>
      <c r="H48" s="120">
        <f t="shared" si="4"/>
        <v>254240.88</v>
      </c>
      <c r="I48" s="34"/>
    </row>
    <row r="49" spans="2:12" ht="18.75">
      <c r="B49" s="10">
        <v>2023</v>
      </c>
      <c r="C49" s="5" t="s">
        <v>1061</v>
      </c>
      <c r="D49" s="120">
        <v>182054</v>
      </c>
      <c r="E49" s="121">
        <f>_xlfn.XLOOKUP(tbl_Presidents[[#This Row],[Nom / Name]],Tableau_bonus[Nom],Tableau_bonus[Bonus %],0)*D49</f>
        <v>36410.800000000003</v>
      </c>
      <c r="F49" s="120">
        <f t="shared" si="3"/>
        <v>218464.8</v>
      </c>
      <c r="G49" s="122">
        <f t="shared" si="0"/>
        <v>18205.400000000001</v>
      </c>
      <c r="H49" s="120">
        <f t="shared" si="4"/>
        <v>236670.19999999998</v>
      </c>
      <c r="I49" s="34"/>
    </row>
    <row r="50" spans="2:12" ht="33.75">
      <c r="B50" s="10">
        <v>2024</v>
      </c>
      <c r="C50" s="5" t="s">
        <v>1064</v>
      </c>
      <c r="D50" s="120">
        <v>181680</v>
      </c>
      <c r="E50" s="121">
        <f>_xlfn.XLOOKUP(tbl_Presidents[[#This Row],[Nom / Name]],Tableau_bonus[Nom],Tableau_bonus[Bonus %],0)*D50</f>
        <v>36336</v>
      </c>
      <c r="F50" s="120">
        <f t="shared" si="3"/>
        <v>218016</v>
      </c>
      <c r="G50" s="122">
        <f t="shared" si="0"/>
        <v>18168</v>
      </c>
      <c r="H50" s="120">
        <f t="shared" si="4"/>
        <v>236184</v>
      </c>
      <c r="I50" s="34"/>
      <c r="J50" s="123" t="str" cm="1">
        <f t="array" ref="J50">TranslateMe(93)</f>
        <v>Sum of all bonuses for the TOP 3</v>
      </c>
      <c r="K50" s="61"/>
      <c r="L50" s="61"/>
    </row>
    <row r="51" spans="2:12" ht="23.25">
      <c r="J51" s="63" cm="1">
        <f t="array" ref="J51">SUM(_xlfn.XLOOKUP(_xlfn.ANCHORARRAY($J$36),tbl_Presidents[Total],tbl_Presidents[[Extra Bonus ]]),_xlfn.XLOOKUP(_xlfn.ANCHORARRAY($J$36),tbl_Presidents[Total],tbl_Presidents[Bonus]))</f>
        <v>173054.64</v>
      </c>
    </row>
    <row r="52" spans="2:12" ht="18.75">
      <c r="J52" s="24"/>
    </row>
    <row r="54" spans="2:12" ht="18.75">
      <c r="B54" s="5"/>
      <c r="C54" s="10"/>
      <c r="D54" s="10"/>
    </row>
    <row r="55" spans="2:12" ht="15.75">
      <c r="B55" s="113" t="s">
        <v>499</v>
      </c>
      <c r="C55" s="113" t="s">
        <v>1067</v>
      </c>
      <c r="D55" s="113" t="s">
        <v>919</v>
      </c>
      <c r="G55" s="113" t="s">
        <v>1068</v>
      </c>
      <c r="H55" s="113"/>
    </row>
    <row r="56" spans="2:12" ht="21">
      <c r="B56" s="81">
        <v>1980</v>
      </c>
      <c r="C56" s="82">
        <v>0.22</v>
      </c>
      <c r="D56" s="82" t="s">
        <v>1034</v>
      </c>
      <c r="G56" s="78">
        <v>150000</v>
      </c>
      <c r="H56" s="79">
        <v>0</v>
      </c>
    </row>
    <row r="57" spans="2:12" ht="21">
      <c r="B57" s="81">
        <v>1981</v>
      </c>
      <c r="C57" s="82">
        <v>0.25</v>
      </c>
      <c r="D57" s="82" t="s">
        <v>1035</v>
      </c>
      <c r="G57" s="78">
        <v>160000</v>
      </c>
      <c r="H57" s="79">
        <v>0.05</v>
      </c>
    </row>
    <row r="58" spans="2:12" ht="21">
      <c r="B58" s="81">
        <v>1982</v>
      </c>
      <c r="C58" s="82">
        <v>0.25</v>
      </c>
      <c r="D58" s="82" t="s">
        <v>1036</v>
      </c>
      <c r="G58" s="78">
        <v>170000</v>
      </c>
      <c r="H58" s="79">
        <v>0.08</v>
      </c>
    </row>
    <row r="59" spans="2:12" ht="21">
      <c r="B59" s="81">
        <v>1983</v>
      </c>
      <c r="C59" s="82">
        <v>0.25</v>
      </c>
      <c r="D59" s="82" t="s">
        <v>1037</v>
      </c>
      <c r="G59" s="78">
        <v>180000</v>
      </c>
      <c r="H59" s="79">
        <v>0.1</v>
      </c>
    </row>
    <row r="60" spans="2:12" ht="21">
      <c r="B60" s="81">
        <v>1984</v>
      </c>
      <c r="C60" s="82">
        <v>0.25</v>
      </c>
      <c r="D60" s="82" t="s">
        <v>1038</v>
      </c>
      <c r="G60" s="78">
        <v>190000</v>
      </c>
      <c r="H60" s="79">
        <v>0.15</v>
      </c>
    </row>
    <row r="61" spans="2:12" ht="18.75">
      <c r="B61" s="81">
        <v>1985</v>
      </c>
      <c r="C61" s="82">
        <v>0.24</v>
      </c>
      <c r="D61" s="82" t="s">
        <v>1039</v>
      </c>
    </row>
    <row r="62" spans="2:12" ht="18.75">
      <c r="B62" s="81">
        <v>1986</v>
      </c>
      <c r="C62" s="82">
        <v>0.24</v>
      </c>
      <c r="D62" s="82" t="s">
        <v>1039</v>
      </c>
    </row>
    <row r="63" spans="2:12" ht="18.75">
      <c r="B63" s="81">
        <v>1987</v>
      </c>
      <c r="C63" s="82">
        <v>0.23</v>
      </c>
      <c r="D63" s="82" t="s">
        <v>1041</v>
      </c>
    </row>
    <row r="64" spans="2:12" ht="18.75">
      <c r="B64" s="81">
        <v>1988</v>
      </c>
      <c r="C64" s="82">
        <v>0.23</v>
      </c>
      <c r="D64" s="82" t="s">
        <v>935</v>
      </c>
    </row>
    <row r="65" spans="2:4" ht="18.75">
      <c r="B65" s="81">
        <v>1989</v>
      </c>
      <c r="C65" s="82">
        <v>0.21</v>
      </c>
      <c r="D65" s="82" t="s">
        <v>1040</v>
      </c>
    </row>
    <row r="66" spans="2:4" ht="18.75">
      <c r="B66" s="81">
        <v>1990</v>
      </c>
      <c r="C66" s="82">
        <v>0.2</v>
      </c>
      <c r="D66" s="82" t="s">
        <v>1043</v>
      </c>
    </row>
    <row r="67" spans="2:4" ht="18.75">
      <c r="B67" s="81">
        <v>1991</v>
      </c>
      <c r="C67" s="82">
        <v>0.19</v>
      </c>
      <c r="D67" s="82" t="s">
        <v>1033</v>
      </c>
    </row>
    <row r="68" spans="2:4" ht="18.75">
      <c r="B68" s="81">
        <v>1992</v>
      </c>
      <c r="C68" s="82">
        <v>0.18</v>
      </c>
      <c r="D68" s="82" t="s">
        <v>1045</v>
      </c>
    </row>
    <row r="69" spans="2:4" ht="18.75">
      <c r="B69" s="81">
        <v>1993</v>
      </c>
      <c r="C69" s="82">
        <v>0.18</v>
      </c>
      <c r="D69" s="82" t="s">
        <v>1046</v>
      </c>
    </row>
    <row r="70" spans="2:4" ht="18.75">
      <c r="B70" s="81">
        <v>1994</v>
      </c>
      <c r="C70" s="82">
        <v>0.17</v>
      </c>
      <c r="D70" s="82" t="s">
        <v>1049</v>
      </c>
    </row>
    <row r="71" spans="2:4" ht="18.75">
      <c r="B71" s="81">
        <v>1995</v>
      </c>
      <c r="C71" s="82">
        <v>0.14000000000000001</v>
      </c>
      <c r="D71" s="82" t="s">
        <v>935</v>
      </c>
    </row>
    <row r="72" spans="2:4" ht="18.75">
      <c r="B72" s="81">
        <v>1996</v>
      </c>
      <c r="C72" s="82">
        <v>0.14000000000000001</v>
      </c>
      <c r="D72" s="82" t="s">
        <v>1043</v>
      </c>
    </row>
    <row r="73" spans="2:4" ht="18.75">
      <c r="B73" s="81">
        <v>1997</v>
      </c>
      <c r="C73" s="82">
        <v>0.12</v>
      </c>
      <c r="D73" s="82" t="s">
        <v>1043</v>
      </c>
    </row>
    <row r="74" spans="2:4" ht="18.75">
      <c r="B74" s="81">
        <v>1998</v>
      </c>
      <c r="C74" s="82">
        <v>0.15</v>
      </c>
      <c r="D74" s="82" t="s">
        <v>1033</v>
      </c>
    </row>
    <row r="75" spans="2:4" ht="18.75">
      <c r="B75" s="81">
        <v>1999</v>
      </c>
      <c r="C75" s="82">
        <v>0.22</v>
      </c>
      <c r="D75" s="82" t="s">
        <v>1051</v>
      </c>
    </row>
    <row r="76" spans="2:4" ht="18.75">
      <c r="B76" s="81">
        <v>2000</v>
      </c>
      <c r="C76" s="82">
        <v>0.25</v>
      </c>
      <c r="D76" s="82" t="s">
        <v>1046</v>
      </c>
    </row>
    <row r="77" spans="2:4" ht="18.75">
      <c r="B77" s="81">
        <v>2001</v>
      </c>
      <c r="C77" s="82">
        <v>0.25</v>
      </c>
      <c r="D77" s="82" t="s">
        <v>1052</v>
      </c>
    </row>
    <row r="78" spans="2:4" ht="18.75">
      <c r="B78" s="81">
        <v>2002</v>
      </c>
      <c r="C78" s="82">
        <v>0.25</v>
      </c>
      <c r="D78" s="82" t="s">
        <v>1049</v>
      </c>
    </row>
    <row r="79" spans="2:4" ht="18.75">
      <c r="B79" s="81">
        <v>2003</v>
      </c>
      <c r="C79" s="82">
        <v>0.25</v>
      </c>
      <c r="D79" s="82" t="s">
        <v>923</v>
      </c>
    </row>
    <row r="80" spans="2:4" ht="18.75">
      <c r="B80" s="81">
        <v>2004</v>
      </c>
      <c r="C80" s="82">
        <v>0.24</v>
      </c>
      <c r="D80" s="82" t="s">
        <v>1053</v>
      </c>
    </row>
    <row r="81" spans="2:4" ht="18.75">
      <c r="B81" s="81">
        <v>2005</v>
      </c>
      <c r="C81" s="82">
        <v>0.24</v>
      </c>
      <c r="D81" s="82" t="s">
        <v>1054</v>
      </c>
    </row>
    <row r="82" spans="2:4" ht="18.75">
      <c r="B82" s="81">
        <v>2006</v>
      </c>
      <c r="C82" s="82">
        <v>0.23</v>
      </c>
      <c r="D82" s="82" t="s">
        <v>1052</v>
      </c>
    </row>
    <row r="83" spans="2:4" ht="18.75">
      <c r="B83" s="81">
        <v>2007</v>
      </c>
      <c r="C83" s="82">
        <v>0.23</v>
      </c>
      <c r="D83" s="82" t="s">
        <v>951</v>
      </c>
    </row>
    <row r="84" spans="2:4" ht="18.75">
      <c r="B84" s="81">
        <v>2008</v>
      </c>
      <c r="C84" s="82">
        <v>0.21</v>
      </c>
      <c r="D84" s="82" t="s">
        <v>923</v>
      </c>
    </row>
    <row r="85" spans="2:4" ht="18.75">
      <c r="B85" s="81">
        <v>2009</v>
      </c>
      <c r="C85" s="82">
        <v>0.2</v>
      </c>
      <c r="D85" s="82" t="s">
        <v>1055</v>
      </c>
    </row>
    <row r="86" spans="2:4" ht="18.75">
      <c r="B86" s="81">
        <v>2010</v>
      </c>
      <c r="C86" s="82">
        <v>0.19</v>
      </c>
      <c r="D86" s="82" t="s">
        <v>1056</v>
      </c>
    </row>
    <row r="87" spans="2:4" ht="18.75">
      <c r="B87" s="81">
        <v>2011</v>
      </c>
      <c r="C87" s="82">
        <v>0.18</v>
      </c>
      <c r="D87" s="82" t="s">
        <v>951</v>
      </c>
    </row>
    <row r="88" spans="2:4" ht="18.75">
      <c r="B88" s="81">
        <v>2012</v>
      </c>
      <c r="C88" s="82">
        <v>0.18</v>
      </c>
      <c r="D88" s="82" t="s">
        <v>1057</v>
      </c>
    </row>
    <row r="89" spans="2:4" ht="18.75">
      <c r="B89" s="81">
        <v>2013</v>
      </c>
      <c r="C89" s="82">
        <v>0.17</v>
      </c>
      <c r="D89" s="82" t="s">
        <v>928</v>
      </c>
    </row>
    <row r="90" spans="2:4" ht="18.75">
      <c r="B90" s="81">
        <v>2014</v>
      </c>
      <c r="C90" s="82">
        <v>0.14000000000000001</v>
      </c>
      <c r="D90" s="82" t="s">
        <v>1058</v>
      </c>
    </row>
    <row r="91" spans="2:4" ht="18.75">
      <c r="B91" s="81">
        <v>2015</v>
      </c>
      <c r="C91" s="82">
        <v>0.14000000000000001</v>
      </c>
      <c r="D91" s="82" t="s">
        <v>947</v>
      </c>
    </row>
    <row r="92" spans="2:4" ht="18.75">
      <c r="B92" s="81">
        <v>2016</v>
      </c>
      <c r="C92" s="82">
        <v>0.22</v>
      </c>
      <c r="D92" s="82" t="s">
        <v>1059</v>
      </c>
    </row>
    <row r="93" spans="2:4" ht="18.75">
      <c r="B93" s="81">
        <v>2017</v>
      </c>
      <c r="C93" s="82">
        <v>0.25</v>
      </c>
      <c r="D93" s="82" t="s">
        <v>1056</v>
      </c>
    </row>
    <row r="94" spans="2:4" ht="18.75">
      <c r="B94" s="81">
        <v>2018</v>
      </c>
      <c r="C94" s="82">
        <v>0.2</v>
      </c>
      <c r="D94" s="82" t="s">
        <v>1061</v>
      </c>
    </row>
    <row r="95" spans="2:4" ht="18.75">
      <c r="B95" s="81">
        <v>2019</v>
      </c>
      <c r="C95" s="82">
        <v>0.25</v>
      </c>
      <c r="D95" s="82" t="s">
        <v>928</v>
      </c>
    </row>
    <row r="96" spans="2:4" ht="18.75">
      <c r="B96" s="81">
        <v>2020</v>
      </c>
      <c r="C96" s="82">
        <v>0.25</v>
      </c>
      <c r="D96" s="82" t="s">
        <v>947</v>
      </c>
    </row>
    <row r="97" spans="2:4" ht="18.75">
      <c r="B97" s="81">
        <v>2021</v>
      </c>
      <c r="C97" s="82">
        <v>0.24</v>
      </c>
      <c r="D97" s="82" t="s">
        <v>941</v>
      </c>
    </row>
    <row r="98" spans="2:4" ht="18.75">
      <c r="B98" s="81">
        <v>2022</v>
      </c>
      <c r="C98" s="82">
        <v>0.24</v>
      </c>
      <c r="D98" s="82" t="s">
        <v>933</v>
      </c>
    </row>
    <row r="99" spans="2:4" ht="18.75">
      <c r="B99" s="81">
        <v>2023</v>
      </c>
      <c r="C99" s="82">
        <v>0.2</v>
      </c>
      <c r="D99" s="82" t="s">
        <v>1061</v>
      </c>
    </row>
    <row r="100" spans="2:4" ht="18.75">
      <c r="B100" s="81">
        <v>2024</v>
      </c>
      <c r="C100" s="82">
        <v>0.2</v>
      </c>
      <c r="D100" s="82" t="s">
        <v>1064</v>
      </c>
    </row>
  </sheetData>
  <mergeCells count="3">
    <mergeCell ref="L1:M1"/>
    <mergeCell ref="N1:P1"/>
    <mergeCell ref="E1:K1"/>
  </mergeCells>
  <dataValidations count="2">
    <dataValidation type="list" allowBlank="1" showInputMessage="1" showErrorMessage="1" sqref="J25 M25" xr:uid="{BDC1513B-B15E-483D-A8D2-F9BEAAC5FC72}">
      <formula1>$D$5:$F$5</formula1>
    </dataValidation>
    <dataValidation type="list" allowBlank="1" showInputMessage="1" showErrorMessage="1" sqref="J24 M24:O24 J9:J11 J9:K9 J44:J46 J30" xr:uid="{C6C5D9E9-7139-4A59-8738-9519E65A2383}">
      <formula1>$C$6:$C$50</formula1>
    </dataValidation>
  </dataValidations>
  <hyperlinks>
    <hyperlink ref="A1" location="MENU!A1" display="MENU!A1" xr:uid="{60527389-BDFA-4A77-8AF6-2566A2DEFD3E}"/>
  </hyperlinks>
  <pageMargins left="0.7" right="0.7" top="0.75" bottom="0.75" header="0.3" footer="0.3"/>
  <pageSetup paperSize="9" orientation="portrait" r:id="rId1"/>
  <cellWatches>
    <cellWatch r="E23"/>
    <cellWatch r="C23"/>
    <cellWatch r="G23"/>
    <cellWatch r="D23"/>
  </cellWatches>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EEFD2-A154-48DE-91F8-59FEC0A5A1FC}">
  <sheetPr codeName="Sheet21"/>
  <dimension ref="A1:AM101"/>
  <sheetViews>
    <sheetView zoomScale="101" workbookViewId="0">
      <selection activeCell="B29" sqref="B29"/>
    </sheetView>
  </sheetViews>
  <sheetFormatPr defaultColWidth="11.42578125" defaultRowHeight="15"/>
  <cols>
    <col min="2" max="2" width="12.42578125" bestFit="1" customWidth="1"/>
    <col min="3" max="4" width="18.5703125" customWidth="1"/>
    <col min="6" max="39" width="25.7109375" customWidth="1"/>
  </cols>
  <sheetData>
    <row r="1" spans="1:12" s="45" customFormat="1" ht="68.25" customHeight="1">
      <c r="A1" s="110" t="e" vm="2">
        <v>#VALUE!</v>
      </c>
      <c r="C1" s="112" t="str" cm="1">
        <f t="array" ref="C1">TranslateMe(31)</f>
        <v>MATRIX HANDLING</v>
      </c>
      <c r="D1" s="111"/>
    </row>
    <row r="2" spans="1:12" ht="15.75">
      <c r="B2" s="113" t="s">
        <v>1069</v>
      </c>
      <c r="C2" s="113" t="s">
        <v>1</v>
      </c>
      <c r="D2" s="113" t="s">
        <v>2</v>
      </c>
      <c r="F2" s="113" t="s">
        <v>1069</v>
      </c>
      <c r="G2" s="113" t="s">
        <v>1</v>
      </c>
      <c r="H2" s="113" t="s">
        <v>2</v>
      </c>
      <c r="J2" s="113" t="s">
        <v>1069</v>
      </c>
      <c r="K2" s="113" t="s">
        <v>1</v>
      </c>
      <c r="L2" s="113" t="s">
        <v>2</v>
      </c>
    </row>
    <row r="3" spans="1:12">
      <c r="B3" s="48">
        <v>1</v>
      </c>
      <c r="C3" s="48" t="s">
        <v>5</v>
      </c>
      <c r="D3" s="48" t="s">
        <v>6</v>
      </c>
      <c r="F3">
        <v>2</v>
      </c>
      <c r="G3" t="s">
        <v>67</v>
      </c>
      <c r="H3" t="s">
        <v>68</v>
      </c>
      <c r="J3" s="48">
        <v>4</v>
      </c>
      <c r="K3" s="48" t="s">
        <v>113</v>
      </c>
      <c r="L3" s="48" t="s">
        <v>113</v>
      </c>
    </row>
    <row r="4" spans="1:12">
      <c r="B4">
        <v>1</v>
      </c>
      <c r="C4" t="s">
        <v>9</v>
      </c>
      <c r="D4" t="s">
        <v>10</v>
      </c>
      <c r="F4" s="48">
        <v>2</v>
      </c>
      <c r="G4" s="48" t="s">
        <v>71</v>
      </c>
      <c r="H4" s="48" t="s">
        <v>72</v>
      </c>
      <c r="J4">
        <v>4</v>
      </c>
      <c r="K4" t="s">
        <v>116</v>
      </c>
      <c r="L4" t="s">
        <v>117</v>
      </c>
    </row>
    <row r="5" spans="1:12">
      <c r="B5" s="48">
        <v>1</v>
      </c>
      <c r="C5" s="48" t="s">
        <v>13</v>
      </c>
      <c r="D5" s="48" t="s">
        <v>14</v>
      </c>
      <c r="J5" s="48">
        <v>4</v>
      </c>
      <c r="K5" s="48" t="s">
        <v>120</v>
      </c>
      <c r="L5" s="48" t="s">
        <v>121</v>
      </c>
    </row>
    <row r="6" spans="1:12">
      <c r="B6">
        <v>1</v>
      </c>
      <c r="C6" t="s">
        <v>17</v>
      </c>
      <c r="D6" t="s">
        <v>17</v>
      </c>
      <c r="J6">
        <v>4</v>
      </c>
      <c r="K6" t="s">
        <v>124</v>
      </c>
      <c r="L6" t="s">
        <v>125</v>
      </c>
    </row>
    <row r="7" spans="1:12" ht="15.75">
      <c r="B7" s="48">
        <v>1</v>
      </c>
      <c r="C7" s="48" t="s">
        <v>20</v>
      </c>
      <c r="D7" s="48" t="s">
        <v>20</v>
      </c>
      <c r="F7" s="113" t="s">
        <v>1069</v>
      </c>
      <c r="G7" s="113" t="s">
        <v>1</v>
      </c>
      <c r="H7" s="113" t="s">
        <v>2</v>
      </c>
      <c r="J7" s="48">
        <v>4</v>
      </c>
      <c r="K7" s="48" t="s">
        <v>128</v>
      </c>
      <c r="L7" s="48" t="s">
        <v>128</v>
      </c>
    </row>
    <row r="8" spans="1:12">
      <c r="B8">
        <v>1</v>
      </c>
      <c r="C8" t="s">
        <v>23</v>
      </c>
      <c r="D8" t="s">
        <v>24</v>
      </c>
      <c r="F8">
        <v>3</v>
      </c>
      <c r="G8" t="s">
        <v>75</v>
      </c>
      <c r="H8" t="s">
        <v>75</v>
      </c>
    </row>
    <row r="9" spans="1:12">
      <c r="B9" s="48">
        <v>1</v>
      </c>
      <c r="C9" s="48" t="s">
        <v>609</v>
      </c>
      <c r="D9" s="48" t="s">
        <v>610</v>
      </c>
      <c r="F9" s="48">
        <v>3</v>
      </c>
      <c r="G9" s="48" t="s">
        <v>78</v>
      </c>
      <c r="H9" s="48" t="s">
        <v>78</v>
      </c>
    </row>
    <row r="10" spans="1:12" ht="15.75">
      <c r="B10">
        <v>1</v>
      </c>
      <c r="C10" t="s">
        <v>27</v>
      </c>
      <c r="D10" t="s">
        <v>28</v>
      </c>
      <c r="F10">
        <v>3</v>
      </c>
      <c r="G10" t="s">
        <v>81</v>
      </c>
      <c r="H10" t="s">
        <v>1070</v>
      </c>
      <c r="J10" s="113" t="s">
        <v>1069</v>
      </c>
      <c r="K10" s="113" t="s">
        <v>1</v>
      </c>
      <c r="L10" s="113" t="s">
        <v>2</v>
      </c>
    </row>
    <row r="11" spans="1:12">
      <c r="B11" s="48">
        <v>1</v>
      </c>
      <c r="C11" s="48" t="s">
        <v>31</v>
      </c>
      <c r="D11" s="48" t="s">
        <v>32</v>
      </c>
      <c r="F11" s="48">
        <v>3</v>
      </c>
      <c r="G11" s="48" t="s">
        <v>84</v>
      </c>
      <c r="H11" s="48" t="s">
        <v>1071</v>
      </c>
      <c r="J11">
        <v>5</v>
      </c>
      <c r="K11" t="s">
        <v>131</v>
      </c>
      <c r="L11" t="s">
        <v>132</v>
      </c>
    </row>
    <row r="12" spans="1:12">
      <c r="B12">
        <v>1</v>
      </c>
      <c r="C12" t="s">
        <v>35</v>
      </c>
      <c r="D12" t="s">
        <v>613</v>
      </c>
      <c r="F12">
        <v>3</v>
      </c>
      <c r="G12" t="s">
        <v>87</v>
      </c>
      <c r="H12" t="s">
        <v>88</v>
      </c>
      <c r="J12" s="49">
        <v>5</v>
      </c>
      <c r="K12" s="49" t="s">
        <v>135</v>
      </c>
      <c r="L12" s="49" t="s">
        <v>136</v>
      </c>
    </row>
    <row r="13" spans="1:12">
      <c r="B13" s="48">
        <v>1</v>
      </c>
      <c r="C13" s="48" t="s">
        <v>39</v>
      </c>
      <c r="D13" s="48" t="s">
        <v>40</v>
      </c>
      <c r="F13" s="48">
        <v>3</v>
      </c>
      <c r="G13" s="48" t="s">
        <v>91</v>
      </c>
      <c r="H13" s="48" t="s">
        <v>92</v>
      </c>
    </row>
    <row r="14" spans="1:12">
      <c r="B14">
        <v>1</v>
      </c>
      <c r="C14" t="s">
        <v>43</v>
      </c>
      <c r="D14" t="s">
        <v>44</v>
      </c>
      <c r="F14">
        <v>3</v>
      </c>
      <c r="G14" t="s">
        <v>95</v>
      </c>
      <c r="H14" t="s">
        <v>95</v>
      </c>
    </row>
    <row r="15" spans="1:12">
      <c r="B15" s="48">
        <v>1</v>
      </c>
      <c r="C15" s="48" t="s">
        <v>47</v>
      </c>
      <c r="D15" s="48" t="s">
        <v>48</v>
      </c>
      <c r="F15" s="48">
        <v>3</v>
      </c>
      <c r="G15" s="48" t="s">
        <v>98</v>
      </c>
      <c r="H15" s="48" t="s">
        <v>98</v>
      </c>
    </row>
    <row r="16" spans="1:12">
      <c r="B16">
        <v>1</v>
      </c>
      <c r="C16" t="s">
        <v>51</v>
      </c>
      <c r="D16" t="s">
        <v>52</v>
      </c>
      <c r="F16">
        <v>3</v>
      </c>
      <c r="G16" t="s">
        <v>101</v>
      </c>
      <c r="H16" t="s">
        <v>102</v>
      </c>
    </row>
    <row r="17" spans="2:18">
      <c r="B17" s="48">
        <v>1</v>
      </c>
      <c r="C17" s="48" t="s">
        <v>55</v>
      </c>
      <c r="D17" s="48" t="s">
        <v>56</v>
      </c>
      <c r="F17" s="48">
        <v>3</v>
      </c>
      <c r="G17" s="48" t="s">
        <v>105</v>
      </c>
      <c r="H17" s="48" t="s">
        <v>106</v>
      </c>
    </row>
    <row r="18" spans="2:18">
      <c r="B18">
        <v>1</v>
      </c>
      <c r="C18" t="s">
        <v>59</v>
      </c>
      <c r="D18" t="s">
        <v>60</v>
      </c>
      <c r="F18">
        <v>3</v>
      </c>
      <c r="G18" t="s">
        <v>109</v>
      </c>
      <c r="H18" t="s">
        <v>110</v>
      </c>
    </row>
    <row r="19" spans="2:18">
      <c r="B19" s="48">
        <v>1</v>
      </c>
      <c r="C19" s="48" t="s">
        <v>63</v>
      </c>
      <c r="D19" s="48" t="s">
        <v>64</v>
      </c>
    </row>
    <row r="21" spans="2:18" s="61" customFormat="1" ht="34.5" customHeight="1">
      <c r="B21" s="61" t="str" cm="1">
        <f t="array" ref="B21">Translatefct(160,0)</f>
        <v>HSTACK</v>
      </c>
      <c r="D21" s="109" t="str" cm="1">
        <f t="array" ref="D21">Translatefct(160,1)</f>
        <v>Horizontally stacks arrays or ranges.</v>
      </c>
    </row>
    <row r="22" spans="2:18" ht="18.75">
      <c r="B22" s="24" t="str">
        <f ca="1">_xlfn.FORMULATEXT(B23)</f>
        <v>=ASSEMB.H(B3:D4;F3:H4;F8:H9;J3:L4;J11:L12)</v>
      </c>
    </row>
    <row r="23" spans="2:18" ht="23.25">
      <c r="B23" s="63" cm="1">
        <f t="array" ref="B23:P24">_xlfn.HSTACK(B3:D4,F3:H4,F8:H9,J3:L4,J11:L12)</f>
        <v>1</v>
      </c>
      <c r="C23" s="63" t="str">
        <v>FILTER</v>
      </c>
      <c r="D23" s="63" t="str">
        <v>FILTRE</v>
      </c>
      <c r="E23" s="63">
        <v>2</v>
      </c>
      <c r="F23" s="63" t="str">
        <v>XLOOKUP</v>
      </c>
      <c r="G23" s="63" t="str">
        <v>RECHERCHEX</v>
      </c>
      <c r="H23" s="63">
        <v>3</v>
      </c>
      <c r="I23" s="63" t="str">
        <v>LET</v>
      </c>
      <c r="J23" s="63" t="str">
        <v>LET</v>
      </c>
      <c r="K23" s="63">
        <v>4</v>
      </c>
      <c r="L23" s="63" t="str">
        <v>IMAGE</v>
      </c>
      <c r="M23" s="63" t="str">
        <v>IMAGE</v>
      </c>
      <c r="N23" s="63">
        <v>5</v>
      </c>
      <c r="O23" s="63" t="str">
        <v>IFERROR</v>
      </c>
      <c r="P23" s="63" t="str">
        <v>SIERREUR</v>
      </c>
    </row>
    <row r="24" spans="2:18" ht="23.25">
      <c r="B24" s="63">
        <v>1</v>
      </c>
      <c r="C24" s="63" t="str">
        <v>SORT</v>
      </c>
      <c r="D24" s="63" t="str">
        <v>TRIER</v>
      </c>
      <c r="E24" s="63">
        <v>2</v>
      </c>
      <c r="F24" s="63" t="str">
        <v>XMATCH</v>
      </c>
      <c r="G24" s="63" t="str">
        <v>EQUIVX</v>
      </c>
      <c r="H24" s="63">
        <v>3</v>
      </c>
      <c r="I24" s="63" t="str">
        <v>LAMBDA</v>
      </c>
      <c r="J24" s="63" t="str">
        <v>LAMBDA</v>
      </c>
      <c r="K24" s="63">
        <v>4</v>
      </c>
      <c r="L24" s="63" t="str">
        <v>TEXTAFTER</v>
      </c>
      <c r="M24" s="63" t="str">
        <v>TEXTE.APRES</v>
      </c>
      <c r="N24" s="63">
        <v>5</v>
      </c>
      <c r="O24" s="63" t="str">
        <v>IFNA</v>
      </c>
      <c r="P24" s="63" t="str">
        <v>SI.NA</v>
      </c>
    </row>
    <row r="26" spans="2:18" s="61" customFormat="1" ht="34.5" customHeight="1">
      <c r="B26" s="61" t="str" cm="1">
        <f t="array" ref="B26">Translatefct(150,0)</f>
        <v>VSTACK</v>
      </c>
      <c r="F26" s="61" t="str" cm="1">
        <f t="array" ref="F26">Translatefct(280,0)</f>
        <v>TAKE</v>
      </c>
      <c r="J26" s="61" t="str" cm="1">
        <f t="array" ref="J26">Translatefct(970,0)</f>
        <v>DROP</v>
      </c>
      <c r="N26" s="61" t="str" cm="1">
        <f t="array" ref="N26">Translatefct(130,0)</f>
        <v>CHOOSECOLS</v>
      </c>
    </row>
    <row r="27" spans="2:18" s="102" customFormat="1" ht="20.25" customHeight="1">
      <c r="B27" s="136" t="str" cm="1">
        <f t="array" ref="B27">Translatefct(150,1)</f>
        <v>Vertically stacks arrays or ranges.</v>
      </c>
      <c r="F27" s="136" t="str" cm="1">
        <f t="array" ref="F27">Translatefct(280,1)</f>
        <v>Returns a specified number of rows or columns from the start or end of an array.</v>
      </c>
      <c r="G27" s="101"/>
      <c r="H27" s="101"/>
      <c r="I27" s="101"/>
      <c r="J27" s="136" t="str" cm="1">
        <f t="array" ref="J27">Translatefct(970,1)</f>
        <v>Excludes a specified number of rows or columns from the start or end of an array. </v>
      </c>
      <c r="N27" s="133" t="str" cm="1">
        <f t="array" ref="N27">Translatefct(130,1)</f>
        <v>Selects specific columns from an array.</v>
      </c>
    </row>
    <row r="28" spans="2:18" ht="18.75">
      <c r="B28" s="24" t="str">
        <f ca="1">_xlfn.FORMULATEXT(B29)</f>
        <v>=ASSEMB.V(B2:D19;F3:H4;F8:H18;J3:L7;J11:L12)</v>
      </c>
      <c r="F28" s="24" t="str">
        <f ca="1">_xlfn.FORMULATEXT(F29)</f>
        <v>=PRENDRE(B29#;10)</v>
      </c>
      <c r="J28" s="24" t="str">
        <f ca="1">_xlfn.FORMULATEXT(J29)</f>
        <v>=EXCLURE(B29#;30;1)</v>
      </c>
      <c r="N28" s="24" t="str">
        <f ca="1">_xlfn.FORMULATEXT(N29)</f>
        <v>=CHOISIRCOLS($B$29#;2)</v>
      </c>
    </row>
    <row r="29" spans="2:18" ht="33.75">
      <c r="B29" s="113" t="str" cm="1">
        <f t="array" ref="B29:D66">_xlfn.VSTACK(B2:D19,F3:H4,F8:H18,J3:L7,J11:L12)</f>
        <v>CAT</v>
      </c>
      <c r="C29" s="113" t="str">
        <v>ENG</v>
      </c>
      <c r="D29" s="113" t="str">
        <v>FR</v>
      </c>
      <c r="F29" s="63" t="str" cm="1">
        <f t="array" ref="F29:H38">_xlfn.TAKE(_xlfn.ANCHORARRAY(B29),10)</f>
        <v>CAT</v>
      </c>
      <c r="G29" s="63" t="str">
        <v>ENG</v>
      </c>
      <c r="H29" s="63" t="str">
        <v>FR</v>
      </c>
      <c r="J29" s="63" t="str" cm="1">
        <f t="array" ref="J29:K36">_xlfn.DROP(_xlfn.ANCHORARRAY(B29),30,1)</f>
        <v>DROP</v>
      </c>
      <c r="K29" s="63" t="str">
        <v>SUPPRIMER</v>
      </c>
      <c r="N29" s="63" t="str" cm="1">
        <f t="array" ref="N29:N66">_xlfn.CHOOSECOLS(_xlfn.ANCHORARRAY($B$29),2)</f>
        <v>ENG</v>
      </c>
      <c r="P29" s="61" t="str" cm="1">
        <f t="array" ref="P29">Translatefct(140,0)</f>
        <v>CHOOSEROWS</v>
      </c>
      <c r="Q29" s="61"/>
      <c r="R29" s="61"/>
    </row>
    <row r="30" spans="2:18" ht="33.75">
      <c r="B30" s="28">
        <v>1</v>
      </c>
      <c r="C30" s="28" t="str">
        <v>FILTER</v>
      </c>
      <c r="D30" s="28" t="str">
        <v>FILTRE</v>
      </c>
      <c r="F30" s="63">
        <v>1</v>
      </c>
      <c r="G30" s="63" t="str">
        <v>FILTER</v>
      </c>
      <c r="H30" s="63" t="str">
        <v>FILTRE</v>
      </c>
      <c r="J30" s="63" t="str">
        <v>IMAGE</v>
      </c>
      <c r="K30" s="63" t="str">
        <v>IMAGE</v>
      </c>
      <c r="N30" s="63" t="str">
        <v>FILTER</v>
      </c>
      <c r="P30" s="133" t="str" cm="1">
        <f t="array" ref="P30">Translatefct(140,1)</f>
        <v>Selects specific rows from an array.</v>
      </c>
      <c r="Q30" s="102"/>
      <c r="R30" s="102"/>
    </row>
    <row r="31" spans="2:18" ht="23.25">
      <c r="B31" s="28">
        <v>1</v>
      </c>
      <c r="C31" s="28" t="str">
        <v>SORT</v>
      </c>
      <c r="D31" s="28" t="str">
        <v>TRIER</v>
      </c>
      <c r="F31" s="63">
        <v>1</v>
      </c>
      <c r="G31" s="63" t="str">
        <v>SORT</v>
      </c>
      <c r="H31" s="63" t="str">
        <v>TRIER</v>
      </c>
      <c r="J31" s="63" t="str">
        <v>TEXTAFTER</v>
      </c>
      <c r="K31" s="63" t="str">
        <v>TEXTE.APRES</v>
      </c>
      <c r="N31" s="63" t="str">
        <v>SORT</v>
      </c>
      <c r="P31" s="24" t="str">
        <f ca="1">_xlfn.FORMULATEXT(P32)</f>
        <v>=CHOISIRLIGNES($B$29#;10;15;20;25)</v>
      </c>
    </row>
    <row r="32" spans="2:18" ht="23.25">
      <c r="B32" s="28">
        <v>1</v>
      </c>
      <c r="C32" s="28" t="str">
        <v>SORTBY</v>
      </c>
      <c r="D32" s="28" t="str">
        <v>TRIERPAR</v>
      </c>
      <c r="F32" s="63">
        <v>1</v>
      </c>
      <c r="G32" s="63" t="str">
        <v>SORTBY</v>
      </c>
      <c r="H32" s="63" t="str">
        <v>TRIERPAR</v>
      </c>
      <c r="J32" s="63" t="str">
        <v>TEXTBEFORE</v>
      </c>
      <c r="K32" s="63" t="str">
        <v>TEXTE.AVANT</v>
      </c>
      <c r="N32" s="63" t="str">
        <v>SORTBY</v>
      </c>
      <c r="P32" s="63" cm="1">
        <f t="array" ref="P32:R35">_xlfn.CHOOSEROWS(_xlfn.ANCHORARRAY($B$29),10,15,20,25)</f>
        <v>1</v>
      </c>
      <c r="Q32" s="63" t="str">
        <v>EXPAND</v>
      </c>
      <c r="R32" s="63" t="str">
        <v>ETENDRE</v>
      </c>
    </row>
    <row r="33" spans="2:18" ht="23.25">
      <c r="B33" s="28">
        <v>1</v>
      </c>
      <c r="C33" s="28" t="str">
        <v>UNIQUE</v>
      </c>
      <c r="D33" s="28" t="str">
        <v>UNIQUE</v>
      </c>
      <c r="F33" s="63">
        <v>1</v>
      </c>
      <c r="G33" s="63" t="str">
        <v>UNIQUE</v>
      </c>
      <c r="H33" s="63" t="str">
        <v>UNIQUE</v>
      </c>
      <c r="J33" s="63" t="str">
        <v>STOCKHISTORY</v>
      </c>
      <c r="K33" s="63" t="str">
        <v>HISTORIQUE.ACTIONS</v>
      </c>
      <c r="N33" s="63" t="str">
        <v>UNIQUE</v>
      </c>
      <c r="P33" s="63">
        <v>1</v>
      </c>
      <c r="Q33" s="63" t="str">
        <v>CHOOSECOLS</v>
      </c>
      <c r="R33" s="63" t="str">
        <v>CHOISIRCOLS</v>
      </c>
    </row>
    <row r="34" spans="2:18" ht="23.25">
      <c r="B34" s="28">
        <v>1</v>
      </c>
      <c r="C34" s="28" t="str">
        <v>SEQUENCE</v>
      </c>
      <c r="D34" s="28" t="str">
        <v>SEQUENCE</v>
      </c>
      <c r="F34" s="63">
        <v>1</v>
      </c>
      <c r="G34" s="63" t="str">
        <v>SEQUENCE</v>
      </c>
      <c r="H34" s="63" t="str">
        <v>SEQUENCE</v>
      </c>
      <c r="J34" s="63" t="str">
        <v>ISOMITTED</v>
      </c>
      <c r="K34" s="63" t="str">
        <v>ISOMITTED</v>
      </c>
      <c r="N34" s="63" t="str">
        <v>SEQUENCE</v>
      </c>
      <c r="P34" s="63">
        <v>2</v>
      </c>
      <c r="Q34" s="63" t="str">
        <v>XMATCH</v>
      </c>
      <c r="R34" s="63" t="str">
        <v>EQUIVX</v>
      </c>
    </row>
    <row r="35" spans="2:18" ht="23.25">
      <c r="B35" s="28">
        <v>1</v>
      </c>
      <c r="C35" s="28" t="str">
        <v>RANDARRAY</v>
      </c>
      <c r="D35" s="28" t="str">
        <v>TABLEAU.ALEA</v>
      </c>
      <c r="F35" s="63">
        <v>1</v>
      </c>
      <c r="G35" s="63" t="str">
        <v>RANDARRAY</v>
      </c>
      <c r="H35" s="63" t="str">
        <v>TABLEAU.ALEA</v>
      </c>
      <c r="J35" s="63" t="str">
        <v>IFERROR</v>
      </c>
      <c r="K35" s="63" t="str">
        <v>SIERREUR</v>
      </c>
      <c r="N35" s="63" t="str">
        <v>RANDARRAY</v>
      </c>
      <c r="P35" s="63">
        <v>3</v>
      </c>
      <c r="Q35" s="63" t="str">
        <v>MAKEARRAY</v>
      </c>
      <c r="R35" s="63" t="str">
        <v>CREERTABLEAU</v>
      </c>
    </row>
    <row r="36" spans="2:18" ht="23.25">
      <c r="B36" s="28">
        <v>1</v>
      </c>
      <c r="C36" s="28" t="str">
        <v>TEXTJOIN</v>
      </c>
      <c r="D36" s="28" t="str">
        <v>JOINDRE.TEXTE</v>
      </c>
      <c r="F36" s="63">
        <v>1</v>
      </c>
      <c r="G36" s="63" t="str">
        <v>TEXTJOIN</v>
      </c>
      <c r="H36" s="63" t="str">
        <v>JOINDRE.TEXTE</v>
      </c>
      <c r="J36" s="63" t="str">
        <v>IFNA</v>
      </c>
      <c r="K36" s="63" t="str">
        <v>SI.NA</v>
      </c>
      <c r="N36" s="63" t="str">
        <v>TEXTJOIN</v>
      </c>
    </row>
    <row r="37" spans="2:18" ht="23.25">
      <c r="B37" s="28">
        <v>1</v>
      </c>
      <c r="C37" s="28" t="str">
        <v>ARRAYTOTEXT</v>
      </c>
      <c r="D37" s="28" t="str">
        <v>TABLEAU.EN.TEXTE</v>
      </c>
      <c r="F37" s="63">
        <v>1</v>
      </c>
      <c r="G37" s="63" t="str">
        <v>ARRAYTOTEXT</v>
      </c>
      <c r="H37" s="63" t="str">
        <v>TABLEAU.EN.TEXTE</v>
      </c>
      <c r="N37" s="63" t="str">
        <v>ARRAYTOTEXT</v>
      </c>
    </row>
    <row r="38" spans="2:18" ht="23.25">
      <c r="B38" s="28">
        <v>1</v>
      </c>
      <c r="C38" s="28" t="str">
        <v>EXPAND</v>
      </c>
      <c r="D38" s="28" t="str">
        <v>ETENDRE</v>
      </c>
      <c r="F38" s="63">
        <v>1</v>
      </c>
      <c r="G38" s="63" t="str">
        <v>EXPAND</v>
      </c>
      <c r="H38" s="63" t="str">
        <v>ETENDRE</v>
      </c>
      <c r="N38" s="63" t="str">
        <v>EXPAND</v>
      </c>
    </row>
    <row r="39" spans="2:18" ht="23.25">
      <c r="B39" s="28">
        <v>1</v>
      </c>
      <c r="C39" s="28" t="str">
        <v>TOCOL</v>
      </c>
      <c r="D39" s="28" t="str">
        <v>DANSCOLONNE</v>
      </c>
      <c r="N39" s="63" t="str">
        <v>TOCOL</v>
      </c>
    </row>
    <row r="40" spans="2:18" ht="23.25">
      <c r="B40" s="28">
        <v>1</v>
      </c>
      <c r="C40" s="28" t="str">
        <v>TOROW</v>
      </c>
      <c r="D40" s="28" t="str">
        <v>DANSLIGNE</v>
      </c>
      <c r="F40" s="24" t="str">
        <f ca="1">_xlfn.FORMULATEXT(F41)</f>
        <v>=PRENDRE($F$29#;;-2)</v>
      </c>
      <c r="N40" s="63" t="str">
        <v>TOROW</v>
      </c>
    </row>
    <row r="41" spans="2:18" ht="23.25">
      <c r="B41" s="28">
        <v>1</v>
      </c>
      <c r="C41" s="28" t="str">
        <v>WRAPCOLS</v>
      </c>
      <c r="D41" s="28" t="str">
        <v>ORGA.COLS</v>
      </c>
      <c r="F41" s="63" t="str" cm="1">
        <f t="array" ref="F41:G50">_xlfn.TAKE(_xlfn.ANCHORARRAY($F$29),,-2)</f>
        <v>ENG</v>
      </c>
      <c r="G41" s="63" t="str">
        <v>FR</v>
      </c>
      <c r="N41" s="63" t="str">
        <v>WRAPCOLS</v>
      </c>
    </row>
    <row r="42" spans="2:18" ht="23.25">
      <c r="B42" s="28">
        <v>1</v>
      </c>
      <c r="C42" s="28" t="str">
        <v>WRAPROWS</v>
      </c>
      <c r="D42" s="28" t="str">
        <v>ORGA.LIGNES</v>
      </c>
      <c r="F42" s="63" t="str">
        <v>FILTER</v>
      </c>
      <c r="G42" s="63" t="str">
        <v>FILTRE</v>
      </c>
      <c r="N42" s="63" t="str">
        <v>WRAPROWS</v>
      </c>
    </row>
    <row r="43" spans="2:18" ht="23.25">
      <c r="B43" s="28">
        <v>1</v>
      </c>
      <c r="C43" s="28" t="str">
        <v>CHOOSECOLS</v>
      </c>
      <c r="D43" s="28" t="str">
        <v>CHOISIRCOLS</v>
      </c>
      <c r="F43" s="63" t="str">
        <v>SORT</v>
      </c>
      <c r="G43" s="63" t="str">
        <v>TRIER</v>
      </c>
      <c r="N43" s="63" t="str">
        <v>CHOOSECOLS</v>
      </c>
    </row>
    <row r="44" spans="2:18" ht="23.25">
      <c r="B44" s="28">
        <v>1</v>
      </c>
      <c r="C44" s="28" t="str">
        <v>CHOOSEROWS</v>
      </c>
      <c r="D44" s="28" t="str">
        <v>CHOISIRLIGNES</v>
      </c>
      <c r="F44" s="63" t="str">
        <v>SORTBY</v>
      </c>
      <c r="G44" s="63" t="str">
        <v>TRIERPAR</v>
      </c>
      <c r="N44" s="63" t="str">
        <v>CHOOSEROWS</v>
      </c>
    </row>
    <row r="45" spans="2:18" ht="23.25">
      <c r="B45" s="28">
        <v>1</v>
      </c>
      <c r="C45" s="28" t="str">
        <v>VSTACK</v>
      </c>
      <c r="D45" s="28" t="str">
        <v>ASSEMB.V</v>
      </c>
      <c r="F45" s="63" t="str">
        <v>UNIQUE</v>
      </c>
      <c r="G45" s="63" t="str">
        <v>UNIQUE</v>
      </c>
      <c r="N45" s="63" t="str">
        <v>VSTACK</v>
      </c>
    </row>
    <row r="46" spans="2:18" ht="23.25">
      <c r="B46" s="28">
        <v>1</v>
      </c>
      <c r="C46" s="28" t="str">
        <v>HSTACK</v>
      </c>
      <c r="D46" s="28" t="str">
        <v>ASSEMB.H</v>
      </c>
      <c r="F46" s="63" t="str">
        <v>SEQUENCE</v>
      </c>
      <c r="G46" s="63" t="str">
        <v>SEQUENCE</v>
      </c>
      <c r="N46" s="63" t="str">
        <v>HSTACK</v>
      </c>
    </row>
    <row r="47" spans="2:18" ht="23.25">
      <c r="B47" s="28">
        <v>2</v>
      </c>
      <c r="C47" s="28" t="str">
        <v>XLOOKUP</v>
      </c>
      <c r="D47" s="28" t="str">
        <v>RECHERCHEX</v>
      </c>
      <c r="F47" s="63" t="str">
        <v>RANDARRAY</v>
      </c>
      <c r="G47" s="63" t="str">
        <v>TABLEAU.ALEA</v>
      </c>
      <c r="N47" s="63" t="str">
        <v>XLOOKUP</v>
      </c>
    </row>
    <row r="48" spans="2:18" ht="23.25">
      <c r="B48" s="28">
        <v>2</v>
      </c>
      <c r="C48" s="28" t="str">
        <v>XMATCH</v>
      </c>
      <c r="D48" s="28" t="str">
        <v>EQUIVX</v>
      </c>
      <c r="F48" s="63" t="str">
        <v>TEXTJOIN</v>
      </c>
      <c r="G48" s="63" t="str">
        <v>JOINDRE.TEXTE</v>
      </c>
      <c r="N48" s="63" t="str">
        <v>XMATCH</v>
      </c>
    </row>
    <row r="49" spans="2:14" ht="23.25">
      <c r="B49" s="28">
        <v>3</v>
      </c>
      <c r="C49" s="28" t="str">
        <v>LET</v>
      </c>
      <c r="D49" s="28" t="str">
        <v>LET</v>
      </c>
      <c r="F49" s="63" t="str">
        <v>ARRAYTOTEXT</v>
      </c>
      <c r="G49" s="63" t="str">
        <v>TABLEAU.EN.TEXTE</v>
      </c>
      <c r="N49" s="63" t="str">
        <v>LET</v>
      </c>
    </row>
    <row r="50" spans="2:14" ht="23.25">
      <c r="B50" s="28">
        <v>3</v>
      </c>
      <c r="C50" s="28" t="str">
        <v>LAMBDA</v>
      </c>
      <c r="D50" s="28" t="str">
        <v>LAMBDA</v>
      </c>
      <c r="F50" s="63" t="str">
        <v>EXPAND</v>
      </c>
      <c r="G50" s="63" t="str">
        <v>ETENDRE</v>
      </c>
      <c r="N50" s="63" t="str">
        <v>LAMBDA</v>
      </c>
    </row>
    <row r="51" spans="2:14" ht="23.25">
      <c r="B51" s="28">
        <v>3</v>
      </c>
      <c r="C51" s="28" t="str">
        <v>BYROW</v>
      </c>
      <c r="D51" s="28" t="str">
        <v>PAR.LIGNE</v>
      </c>
      <c r="N51" s="63" t="str">
        <v>BYROW</v>
      </c>
    </row>
    <row r="52" spans="2:14" ht="23.25">
      <c r="B52" s="28">
        <v>3</v>
      </c>
      <c r="C52" s="28" t="str">
        <v>BYCOL</v>
      </c>
      <c r="D52" s="28" t="str">
        <v>PAR.COLONNE</v>
      </c>
      <c r="N52" s="63" t="str">
        <v>BYCOL</v>
      </c>
    </row>
    <row r="53" spans="2:14" ht="23.25">
      <c r="B53" s="28">
        <v>3</v>
      </c>
      <c r="C53" s="28" t="str">
        <v>MAKEARRAY</v>
      </c>
      <c r="D53" s="28" t="str">
        <v>CREERTABLEAU</v>
      </c>
      <c r="F53" s="24" t="str">
        <f ca="1">_xlfn.FORMULATEXT(F54)</f>
        <v>=PRENDRE($F$29#;-3)</v>
      </c>
      <c r="N53" s="63" t="str">
        <v>MAKEARRAY</v>
      </c>
    </row>
    <row r="54" spans="2:14" ht="23.25">
      <c r="B54" s="28">
        <v>3</v>
      </c>
      <c r="C54" s="28" t="str">
        <v>MAP</v>
      </c>
      <c r="D54" s="28" t="str">
        <v>CARTOGRAPHIE</v>
      </c>
      <c r="F54" s="63" cm="1">
        <f t="array" ref="F54:H56">_xlfn.TAKE(_xlfn.ANCHORARRAY($F$29),-3)</f>
        <v>1</v>
      </c>
      <c r="G54" s="63" t="str">
        <v>TEXTJOIN</v>
      </c>
      <c r="H54" s="63" t="str">
        <v>JOINDRE.TEXTE</v>
      </c>
      <c r="N54" s="63" t="str">
        <v>MAP</v>
      </c>
    </row>
    <row r="55" spans="2:14" ht="23.25">
      <c r="B55" s="28">
        <v>3</v>
      </c>
      <c r="C55" s="28" t="str">
        <v>REDUCE</v>
      </c>
      <c r="D55" s="28" t="str">
        <v>REDUCE</v>
      </c>
      <c r="F55" s="63">
        <v>1</v>
      </c>
      <c r="G55" s="63" t="str">
        <v>ARRAYTOTEXT</v>
      </c>
      <c r="H55" s="63" t="str">
        <v>TABLEAU.EN.TEXTE</v>
      </c>
      <c r="N55" s="63" t="str">
        <v>REDUCE</v>
      </c>
    </row>
    <row r="56" spans="2:14" ht="23.25">
      <c r="B56" s="28">
        <v>3</v>
      </c>
      <c r="C56" s="28" t="str">
        <v>SCAN</v>
      </c>
      <c r="D56" s="28" t="str">
        <v>SCAN</v>
      </c>
      <c r="F56" s="63">
        <v>1</v>
      </c>
      <c r="G56" s="63" t="str">
        <v>EXPAND</v>
      </c>
      <c r="H56" s="63" t="str">
        <v>ETENDRE</v>
      </c>
      <c r="N56" s="63" t="str">
        <v>SCAN</v>
      </c>
    </row>
    <row r="57" spans="2:14" ht="23.25">
      <c r="B57" s="28">
        <v>3</v>
      </c>
      <c r="C57" s="28" t="str">
        <v>TEXTSPLIT</v>
      </c>
      <c r="D57" s="28" t="str">
        <v>FRACTIONNER.TEXTE</v>
      </c>
      <c r="N57" s="63" t="str">
        <v>TEXTSPLIT</v>
      </c>
    </row>
    <row r="58" spans="2:14" ht="23.25">
      <c r="B58" s="28">
        <v>3</v>
      </c>
      <c r="C58" s="28" t="str">
        <v>TAKE</v>
      </c>
      <c r="D58" s="28" t="str">
        <v>PRENDRE</v>
      </c>
      <c r="F58" s="24" t="str">
        <f ca="1">_xlfn.FORMULATEXT(F59)</f>
        <v>=ASSEMB.V(F54#;{"---"."---"."---"})</v>
      </c>
      <c r="N58" s="63" t="str">
        <v>TAKE</v>
      </c>
    </row>
    <row r="59" spans="2:14" ht="23.25">
      <c r="B59" s="28">
        <v>3</v>
      </c>
      <c r="C59" s="28" t="str">
        <v>DROP</v>
      </c>
      <c r="D59" s="28" t="str">
        <v>SUPPRIMER</v>
      </c>
      <c r="F59" s="63" cm="1">
        <f t="array" ref="F59:H62">_xlfn.VSTACK(_xlfn.ANCHORARRAY(F54),{"---","---","---"})</f>
        <v>1</v>
      </c>
      <c r="G59" s="63" t="str">
        <v>TEXTJOIN</v>
      </c>
      <c r="H59" s="63" t="str">
        <v>JOINDRE.TEXTE</v>
      </c>
      <c r="N59" s="63" t="str">
        <v>DROP</v>
      </c>
    </row>
    <row r="60" spans="2:14" ht="23.25">
      <c r="B60" s="28">
        <v>4</v>
      </c>
      <c r="C60" s="28" t="str">
        <v>IMAGE</v>
      </c>
      <c r="D60" s="28" t="str">
        <v>IMAGE</v>
      </c>
      <c r="F60" s="63">
        <v>1</v>
      </c>
      <c r="G60" s="63" t="str">
        <v>ARRAYTOTEXT</v>
      </c>
      <c r="H60" s="63" t="str">
        <v>TABLEAU.EN.TEXTE</v>
      </c>
      <c r="N60" s="63" t="str">
        <v>IMAGE</v>
      </c>
    </row>
    <row r="61" spans="2:14" ht="23.25">
      <c r="B61" s="28">
        <v>4</v>
      </c>
      <c r="C61" s="28" t="str">
        <v>TEXTAFTER</v>
      </c>
      <c r="D61" s="28" t="str">
        <v>TEXTE.APRES</v>
      </c>
      <c r="F61" s="63">
        <v>1</v>
      </c>
      <c r="G61" s="63" t="str">
        <v>EXPAND</v>
      </c>
      <c r="H61" s="63" t="str">
        <v>ETENDRE</v>
      </c>
      <c r="N61" s="63" t="str">
        <v>TEXTAFTER</v>
      </c>
    </row>
    <row r="62" spans="2:14" ht="23.25">
      <c r="B62" s="28">
        <v>4</v>
      </c>
      <c r="C62" s="28" t="str">
        <v>TEXTBEFORE</v>
      </c>
      <c r="D62" s="28" t="str">
        <v>TEXTE.AVANT</v>
      </c>
      <c r="F62" s="63" t="str">
        <v>---</v>
      </c>
      <c r="G62" s="63" t="str">
        <v>---</v>
      </c>
      <c r="H62" s="63" t="str">
        <v>---</v>
      </c>
      <c r="N62" s="63" t="str">
        <v>TEXTBEFORE</v>
      </c>
    </row>
    <row r="63" spans="2:14" ht="23.25">
      <c r="B63" s="28">
        <v>4</v>
      </c>
      <c r="C63" s="28" t="str">
        <v>STOCKHISTORY</v>
      </c>
      <c r="D63" s="28" t="str">
        <v>HISTORIQUE.ACTIONS</v>
      </c>
      <c r="N63" s="63" t="str">
        <v>STOCKHISTORY</v>
      </c>
    </row>
    <row r="64" spans="2:14" ht="23.25">
      <c r="B64" s="28">
        <v>4</v>
      </c>
      <c r="C64" s="28" t="str">
        <v>ISOMITTED</v>
      </c>
      <c r="D64" s="28" t="str">
        <v>ISOMITTED</v>
      </c>
      <c r="N64" s="63" t="str">
        <v>ISOMITTED</v>
      </c>
    </row>
    <row r="65" spans="2:39" ht="23.25">
      <c r="B65" s="28">
        <v>5</v>
      </c>
      <c r="C65" s="28" t="str">
        <v>IFERROR</v>
      </c>
      <c r="D65" s="28" t="str">
        <v>SIERREUR</v>
      </c>
      <c r="N65" s="63" t="str">
        <v>IFERROR</v>
      </c>
    </row>
    <row r="66" spans="2:39" ht="23.25">
      <c r="B66" s="28">
        <v>5</v>
      </c>
      <c r="C66" s="28" t="str">
        <v>IFNA</v>
      </c>
      <c r="D66" s="28" t="str">
        <v>SI.NA</v>
      </c>
      <c r="N66" s="63" t="str">
        <v>IFNA</v>
      </c>
    </row>
    <row r="68" spans="2:39" s="61" customFormat="1" ht="34.5" customHeight="1">
      <c r="B68" s="96"/>
      <c r="F68" s="61" t="str" cm="1">
        <f t="array" ref="F68">Translatefct(100,0)</f>
        <v>TOROW</v>
      </c>
    </row>
    <row r="69" spans="2:39" s="62" customFormat="1" ht="21">
      <c r="B69" s="104"/>
      <c r="C69" s="101"/>
      <c r="D69" s="101"/>
      <c r="E69" s="101"/>
      <c r="F69" s="133" t="str" cm="1">
        <f t="array" ref="F69">Translatefct(100,1)</f>
        <v>Transforms a range or array into a single row.</v>
      </c>
      <c r="G69" s="101"/>
      <c r="H69" s="101"/>
    </row>
    <row r="70" spans="2:39" ht="18.75">
      <c r="B70" s="113" t="s">
        <v>1069</v>
      </c>
      <c r="C70" s="113" t="s">
        <v>1</v>
      </c>
      <c r="D70" s="113" t="s">
        <v>2</v>
      </c>
      <c r="F70" s="24" t="str">
        <f ca="1">_xlfn.FORMULATEXT(F71)</f>
        <v>=DANSLIGNE(C71:D87)</v>
      </c>
    </row>
    <row r="71" spans="2:39" ht="23.25">
      <c r="B71" s="48">
        <v>1</v>
      </c>
      <c r="C71" s="48" t="s">
        <v>5</v>
      </c>
      <c r="D71" s="48" t="s">
        <v>6</v>
      </c>
      <c r="F71" s="63" t="str" cm="1">
        <f t="array" ref="F71:AM71">_xlfn.TOROW(C71:D87)</f>
        <v>FILTER</v>
      </c>
      <c r="G71" s="63" t="str">
        <v>FILTRE</v>
      </c>
      <c r="H71" s="63" t="str">
        <v>SORT</v>
      </c>
      <c r="I71" s="63" t="str">
        <v>TRIER</v>
      </c>
      <c r="J71" s="63" t="str">
        <v>SORTBY</v>
      </c>
      <c r="K71" s="63" t="str">
        <v>TRIERPAR</v>
      </c>
      <c r="L71" s="63" t="str">
        <v>UNIQUE</v>
      </c>
      <c r="M71" s="63" t="str">
        <v>UNIQUE</v>
      </c>
      <c r="N71" s="63" t="str">
        <v>SEQUENCE</v>
      </c>
      <c r="O71" s="63" t="str">
        <v>SEQUENCE</v>
      </c>
      <c r="P71" s="63" t="str">
        <v>RANDARRAY</v>
      </c>
      <c r="Q71" s="63" t="str">
        <v>TABLEAU.ALEA</v>
      </c>
      <c r="R71" s="63" t="str">
        <v>TEXTJOIN</v>
      </c>
      <c r="S71" s="63" t="str">
        <v>JOINDRE.TEXTE</v>
      </c>
      <c r="T71" s="63" t="str">
        <v>ARRAYTOTEXT</v>
      </c>
      <c r="U71" s="63" t="str">
        <v>TABLEAU.EN.TEXTE</v>
      </c>
      <c r="V71" s="63" t="str">
        <v>EXPAND</v>
      </c>
      <c r="W71" s="63" t="str">
        <v>ETENDRE</v>
      </c>
      <c r="X71" s="63" t="str">
        <v>TOCOL</v>
      </c>
      <c r="Y71" s="63" t="str">
        <v>DANSCOLONNE</v>
      </c>
      <c r="Z71" s="63" t="str">
        <v>TOROW</v>
      </c>
      <c r="AA71" s="63" t="str">
        <v>DANSLIGNE</v>
      </c>
      <c r="AB71" s="63" t="str">
        <v>WRAPCOLS</v>
      </c>
      <c r="AC71" s="63" t="str">
        <v>ORGA.COLS</v>
      </c>
      <c r="AD71" s="63" t="str">
        <v>WRAPROWS</v>
      </c>
      <c r="AE71" s="63" t="str">
        <v>ORGA.LIGNES</v>
      </c>
      <c r="AF71" s="63" t="str">
        <v>CHOOSECOLS</v>
      </c>
      <c r="AG71" s="63" t="str">
        <v>CHOISIRCOLS</v>
      </c>
      <c r="AH71" s="63" t="str">
        <v>CHOOSEROWS</v>
      </c>
      <c r="AI71" s="63" t="str">
        <v>CHOISIRLIGNES</v>
      </c>
      <c r="AJ71" s="63" t="str">
        <v>VSTACK</v>
      </c>
      <c r="AK71" s="63" t="str">
        <v>ASSEMB.V</v>
      </c>
      <c r="AL71" s="63" t="str">
        <v>HSTACK</v>
      </c>
      <c r="AM71" s="63" t="str">
        <v>ASSEMB.H</v>
      </c>
    </row>
    <row r="72" spans="2:39">
      <c r="B72">
        <v>1</v>
      </c>
      <c r="C72" t="s">
        <v>9</v>
      </c>
      <c r="D72" t="s">
        <v>10</v>
      </c>
    </row>
    <row r="73" spans="2:39">
      <c r="B73" s="48">
        <v>1</v>
      </c>
      <c r="C73" s="48" t="s">
        <v>13</v>
      </c>
      <c r="D73" s="48" t="s">
        <v>14</v>
      </c>
    </row>
    <row r="74" spans="2:39" ht="33.75">
      <c r="B74">
        <v>1</v>
      </c>
      <c r="C74" t="s">
        <v>17</v>
      </c>
      <c r="D74" t="s">
        <v>17</v>
      </c>
      <c r="F74" s="61" t="str" cm="1">
        <f t="array" ref="F74">Translatefct(110,0)</f>
        <v>WRAPCOLS</v>
      </c>
      <c r="G74" s="61"/>
      <c r="H74" s="61"/>
      <c r="I74" s="61"/>
      <c r="J74" s="61"/>
      <c r="K74" s="61"/>
    </row>
    <row r="75" spans="2:39" ht="21">
      <c r="B75" s="48">
        <v>1</v>
      </c>
      <c r="C75" s="48" t="s">
        <v>20</v>
      </c>
      <c r="D75" s="48" t="s">
        <v>20</v>
      </c>
      <c r="F75" s="133" t="str" cm="1">
        <f t="array" ref="F75">Translatefct(110,1)</f>
        <v>Arranges values from a single column into multiple columns.</v>
      </c>
      <c r="G75" s="133"/>
      <c r="H75" s="133"/>
      <c r="I75" s="133"/>
      <c r="J75" s="133"/>
      <c r="K75" s="133"/>
    </row>
    <row r="76" spans="2:39" ht="18.75">
      <c r="B76">
        <v>1</v>
      </c>
      <c r="C76" t="s">
        <v>23</v>
      </c>
      <c r="D76" t="s">
        <v>24</v>
      </c>
      <c r="F76" s="24" t="str">
        <f ca="1">_xlfn.FORMULATEXT(F77)</f>
        <v>=ORGA.COLS(C71:C87;3;"---")</v>
      </c>
      <c r="G76" s="24"/>
      <c r="H76" s="24"/>
      <c r="I76" s="24"/>
      <c r="J76" s="24"/>
      <c r="K76" s="24"/>
    </row>
    <row r="77" spans="2:39" ht="23.25">
      <c r="B77" s="48">
        <v>1</v>
      </c>
      <c r="C77" s="48" t="s">
        <v>609</v>
      </c>
      <c r="D77" s="48" t="s">
        <v>610</v>
      </c>
      <c r="F77" s="63" t="str" cm="1">
        <f t="array" ref="F77:K79">_xlfn.WRAPCOLS(C71:C87,3,"---")</f>
        <v>FILTER</v>
      </c>
      <c r="G77" s="63" t="str">
        <v>UNIQUE</v>
      </c>
      <c r="H77" s="63" t="str">
        <v>TEXTJOIN</v>
      </c>
      <c r="I77" s="63" t="str">
        <v>TOCOL</v>
      </c>
      <c r="J77" s="63" t="str">
        <v>WRAPROWS</v>
      </c>
      <c r="K77" s="63" t="str">
        <v>VSTACK</v>
      </c>
    </row>
    <row r="78" spans="2:39" ht="23.25">
      <c r="B78">
        <v>1</v>
      </c>
      <c r="C78" t="s">
        <v>27</v>
      </c>
      <c r="D78" t="s">
        <v>28</v>
      </c>
      <c r="F78" s="63" t="str">
        <v>SORT</v>
      </c>
      <c r="G78" s="63" t="str">
        <v>SEQUENCE</v>
      </c>
      <c r="H78" s="63" t="str">
        <v>ARRAYTOTEXT</v>
      </c>
      <c r="I78" s="63" t="str">
        <v>TOROW</v>
      </c>
      <c r="J78" s="63" t="str">
        <v>CHOOSECOLS</v>
      </c>
      <c r="K78" s="63" t="str">
        <v>HSTACK</v>
      </c>
    </row>
    <row r="79" spans="2:39" ht="23.25">
      <c r="B79" s="48">
        <v>1</v>
      </c>
      <c r="C79" s="48" t="s">
        <v>31</v>
      </c>
      <c r="D79" s="48" t="s">
        <v>32</v>
      </c>
      <c r="F79" s="63" t="str">
        <v>SORTBY</v>
      </c>
      <c r="G79" s="63" t="str">
        <v>RANDARRAY</v>
      </c>
      <c r="H79" s="63" t="str">
        <v>EXPAND</v>
      </c>
      <c r="I79" s="63" t="str">
        <v>WRAPCOLS</v>
      </c>
      <c r="J79" s="63" t="str">
        <v>CHOOSEROWS</v>
      </c>
      <c r="K79" s="63" t="str">
        <v>---</v>
      </c>
    </row>
    <row r="80" spans="2:39">
      <c r="B80">
        <v>1</v>
      </c>
      <c r="C80" t="s">
        <v>35</v>
      </c>
      <c r="D80" t="s">
        <v>613</v>
      </c>
    </row>
    <row r="81" spans="2:11" ht="33.75">
      <c r="B81" s="48">
        <v>1</v>
      </c>
      <c r="C81" s="48" t="s">
        <v>39</v>
      </c>
      <c r="D81" s="48" t="s">
        <v>40</v>
      </c>
      <c r="F81" s="61" t="str" cm="1">
        <f t="array" ref="F81">Translatefct(90,0)</f>
        <v>TOCOL</v>
      </c>
      <c r="G81" s="96"/>
      <c r="H81" s="96"/>
      <c r="I81" s="61" t="str" cm="1">
        <f t="array" ref="I81">Translatefct(120,0)</f>
        <v>WRAPROWS</v>
      </c>
      <c r="J81" s="96"/>
      <c r="K81" s="96"/>
    </row>
    <row r="82" spans="2:11" ht="21">
      <c r="B82">
        <v>1</v>
      </c>
      <c r="C82" t="s">
        <v>43</v>
      </c>
      <c r="D82" t="s">
        <v>44</v>
      </c>
      <c r="F82" s="133" t="str" cm="1">
        <f t="array" ref="F82">Translatefct(90,1)</f>
        <v>Transforms a range or array into a single column.</v>
      </c>
      <c r="G82" s="104"/>
      <c r="H82" s="104"/>
      <c r="I82" s="133" t="str" cm="1">
        <f t="array" ref="I82">Translatefct(120,1)</f>
        <v>Arranges values from a single row into multiple rows.</v>
      </c>
      <c r="J82" s="104"/>
      <c r="K82" s="104"/>
    </row>
    <row r="83" spans="2:11" ht="18.75">
      <c r="B83" s="48">
        <v>1</v>
      </c>
      <c r="C83" s="48" t="s">
        <v>47</v>
      </c>
      <c r="D83" s="48" t="s">
        <v>48</v>
      </c>
      <c r="F83" s="24" t="str">
        <f ca="1">_xlfn.FORMULATEXT(F84)</f>
        <v>=DANSCOL(ADRESSE(LIGNE(B71:D76);COLONNE(B71:D76);4))</v>
      </c>
      <c r="I83" s="24" t="str">
        <f ca="1">_xlfn.FORMULATEXT(I84)</f>
        <v>=ORGA.LIGNES($F$71#;2)</v>
      </c>
    </row>
    <row r="84" spans="2:11" ht="23.25">
      <c r="B84">
        <v>1</v>
      </c>
      <c r="C84" t="s">
        <v>51</v>
      </c>
      <c r="D84" t="s">
        <v>52</v>
      </c>
      <c r="F84" s="63" t="str" cm="1">
        <f t="array" ref="F84:F101">_xlfn.TOCOL(ADDRESS(ROW(B71:D76),COLUMN(B71:D76),4))</f>
        <v>B71</v>
      </c>
      <c r="I84" s="63" t="str" cm="1">
        <f t="array" ref="I84:J100">_xlfn.WRAPROWS(_xlfn.ANCHORARRAY($F$71),2)</f>
        <v>FILTER</v>
      </c>
      <c r="J84" s="63" t="str">
        <v>FILTRE</v>
      </c>
    </row>
    <row r="85" spans="2:11" ht="23.25">
      <c r="B85" s="48">
        <v>1</v>
      </c>
      <c r="C85" s="48" t="s">
        <v>55</v>
      </c>
      <c r="D85" s="48" t="s">
        <v>56</v>
      </c>
      <c r="F85" s="63" t="str">
        <v>C71</v>
      </c>
      <c r="I85" s="63" t="str">
        <v>SORT</v>
      </c>
      <c r="J85" s="63" t="str">
        <v>TRIER</v>
      </c>
    </row>
    <row r="86" spans="2:11" ht="23.25">
      <c r="B86">
        <v>1</v>
      </c>
      <c r="C86" t="s">
        <v>59</v>
      </c>
      <c r="D86" t="s">
        <v>60</v>
      </c>
      <c r="F86" s="63" t="str">
        <v>D71</v>
      </c>
      <c r="I86" s="63" t="str">
        <v>SORTBY</v>
      </c>
      <c r="J86" s="63" t="str">
        <v>TRIERPAR</v>
      </c>
    </row>
    <row r="87" spans="2:11" ht="23.25">
      <c r="B87" s="48">
        <v>1</v>
      </c>
      <c r="C87" s="48" t="s">
        <v>63</v>
      </c>
      <c r="D87" s="48" t="s">
        <v>64</v>
      </c>
      <c r="F87" s="63" t="str">
        <v>B72</v>
      </c>
      <c r="I87" s="63" t="str">
        <v>UNIQUE</v>
      </c>
      <c r="J87" s="63" t="str">
        <v>UNIQUE</v>
      </c>
    </row>
    <row r="88" spans="2:11" ht="23.25">
      <c r="F88" s="63" t="str">
        <v>C72</v>
      </c>
      <c r="I88" s="63" t="str">
        <v>SEQUENCE</v>
      </c>
      <c r="J88" s="63" t="str">
        <v>SEQUENCE</v>
      </c>
    </row>
    <row r="89" spans="2:11" ht="23.25">
      <c r="F89" s="63" t="str">
        <v>D72</v>
      </c>
      <c r="I89" s="63" t="str">
        <v>RANDARRAY</v>
      </c>
      <c r="J89" s="63" t="str">
        <v>TABLEAU.ALEA</v>
      </c>
    </row>
    <row r="90" spans="2:11" ht="23.25">
      <c r="F90" s="63" t="str">
        <v>B73</v>
      </c>
      <c r="I90" s="63" t="str">
        <v>TEXTJOIN</v>
      </c>
      <c r="J90" s="63" t="str">
        <v>JOINDRE.TEXTE</v>
      </c>
    </row>
    <row r="91" spans="2:11" ht="23.25">
      <c r="F91" s="63" t="str">
        <v>C73</v>
      </c>
      <c r="I91" s="63" t="str">
        <v>ARRAYTOTEXT</v>
      </c>
      <c r="J91" s="63" t="str">
        <v>TABLEAU.EN.TEXTE</v>
      </c>
    </row>
    <row r="92" spans="2:11" ht="23.25">
      <c r="F92" s="63" t="str">
        <v>D73</v>
      </c>
      <c r="I92" s="63" t="str">
        <v>EXPAND</v>
      </c>
      <c r="J92" s="63" t="str">
        <v>ETENDRE</v>
      </c>
    </row>
    <row r="93" spans="2:11" ht="23.25">
      <c r="F93" s="63" t="str">
        <v>B74</v>
      </c>
      <c r="I93" s="63" t="str">
        <v>TOCOL</v>
      </c>
      <c r="J93" s="63" t="str">
        <v>DANSCOLONNE</v>
      </c>
    </row>
    <row r="94" spans="2:11" ht="23.25">
      <c r="F94" s="63" t="str">
        <v>C74</v>
      </c>
      <c r="I94" s="63" t="str">
        <v>TOROW</v>
      </c>
      <c r="J94" s="63" t="str">
        <v>DANSLIGNE</v>
      </c>
    </row>
    <row r="95" spans="2:11" ht="23.25">
      <c r="F95" s="63" t="str">
        <v>D74</v>
      </c>
      <c r="I95" s="63" t="str">
        <v>WRAPCOLS</v>
      </c>
      <c r="J95" s="63" t="str">
        <v>ORGA.COLS</v>
      </c>
    </row>
    <row r="96" spans="2:11" ht="23.25">
      <c r="F96" s="63" t="str">
        <v>B75</v>
      </c>
      <c r="I96" s="63" t="str">
        <v>WRAPROWS</v>
      </c>
      <c r="J96" s="63" t="str">
        <v>ORGA.LIGNES</v>
      </c>
    </row>
    <row r="97" spans="6:10" ht="23.25">
      <c r="F97" s="63" t="str">
        <v>C75</v>
      </c>
      <c r="I97" s="63" t="str">
        <v>CHOOSECOLS</v>
      </c>
      <c r="J97" s="63" t="str">
        <v>CHOISIRCOLS</v>
      </c>
    </row>
    <row r="98" spans="6:10" ht="23.25">
      <c r="F98" s="63" t="str">
        <v>D75</v>
      </c>
      <c r="I98" s="63" t="str">
        <v>CHOOSEROWS</v>
      </c>
      <c r="J98" s="63" t="str">
        <v>CHOISIRLIGNES</v>
      </c>
    </row>
    <row r="99" spans="6:10" ht="23.25">
      <c r="F99" s="63" t="str">
        <v>B76</v>
      </c>
      <c r="I99" s="63" t="str">
        <v>VSTACK</v>
      </c>
      <c r="J99" s="63" t="str">
        <v>ASSEMB.V</v>
      </c>
    </row>
    <row r="100" spans="6:10" ht="23.25">
      <c r="F100" s="63" t="str">
        <v>C76</v>
      </c>
      <c r="I100" s="63" t="str">
        <v>HSTACK</v>
      </c>
      <c r="J100" s="63" t="str">
        <v>ASSEMB.H</v>
      </c>
    </row>
    <row r="101" spans="6:10" ht="23.25">
      <c r="F101" s="63" t="str">
        <v>D76</v>
      </c>
    </row>
  </sheetData>
  <hyperlinks>
    <hyperlink ref="A1" location="MENU!A1" display="MENU!A1" xr:uid="{9952F70F-DF52-49EB-A005-7C7EF8509F1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65536-EDAD-459B-B47A-476DC8D9A53F}">
  <sheetPr codeName="Feuil5"/>
  <dimension ref="A1:U44"/>
  <sheetViews>
    <sheetView workbookViewId="0"/>
  </sheetViews>
  <sheetFormatPr defaultColWidth="11.42578125" defaultRowHeight="15"/>
  <cols>
    <col min="2" max="2" width="17.28515625" bestFit="1" customWidth="1"/>
    <col min="3" max="3" width="17.7109375" bestFit="1" customWidth="1"/>
    <col min="4" max="4" width="15.85546875" bestFit="1" customWidth="1"/>
    <col min="10" max="10" width="14.85546875" customWidth="1"/>
  </cols>
  <sheetData>
    <row r="1" spans="1:21" s="45" customFormat="1" ht="68.25" customHeight="1">
      <c r="A1" s="110" t="e" vm="2">
        <v>#VALUE!</v>
      </c>
      <c r="C1" s="119" t="str" cm="1">
        <f t="array" ref="C1">Translatefct(960,0)</f>
        <v>RANK.EQ</v>
      </c>
      <c r="D1" s="111"/>
      <c r="G1" s="132" t="str" cm="1">
        <f t="array" ref="G1">Translatefct(960,1)</f>
        <v>Returns the rank of a number in a list of numbers</v>
      </c>
      <c r="L1" s="119" t="str" cm="1">
        <f t="array" ref="L1">Translatefct(950,0)</f>
        <v>FREQUENCY</v>
      </c>
      <c r="P1" s="230" t="str" cm="1">
        <f t="array" ref="P1">Translatefct(950,1)</f>
        <v>calculates how often values occur within a range of values, and then returns a vertical array of numbers.</v>
      </c>
      <c r="Q1" s="230"/>
      <c r="R1" s="230"/>
      <c r="S1" s="230"/>
      <c r="T1" s="230"/>
      <c r="U1" s="230"/>
    </row>
    <row r="2" spans="1:21" ht="15.75">
      <c r="B2" s="113" t="str" cm="1">
        <f t="array" ref="B2">TranslateMe(177+COLUMN(B2))</f>
        <v>Employee</v>
      </c>
      <c r="C2" s="113" t="str" cm="1">
        <f t="array" ref="C2">TranslateMe(177+COLUMN(C2))</f>
        <v>Security level</v>
      </c>
      <c r="D2" s="113" t="str" cm="1">
        <f t="array" ref="D2">TranslateMe(177+COLUMN(D2))</f>
        <v>Security ranking</v>
      </c>
      <c r="E2" s="113" t="str" cm="1">
        <f t="array" ref="E2">TranslateMe(177+COLUMN(E2))</f>
        <v>Department</v>
      </c>
      <c r="F2" s="113" t="str" cm="1">
        <f t="array" ref="F2">TranslateMe(177+COLUMN(F2))</f>
        <v>Region</v>
      </c>
      <c r="G2" s="113" t="str" cm="1">
        <f t="array" ref="G2">TranslateMe(177+COLUMN(G2))</f>
        <v>Gender</v>
      </c>
      <c r="H2" s="113" t="str" cm="1">
        <f t="array" ref="H2">TranslateMe(177+COLUMN(H2))</f>
        <v>Born in</v>
      </c>
      <c r="I2" s="113" t="str" cm="1">
        <f t="array" ref="I2">TranslateMe(177+COLUMN(I2))</f>
        <v>Bonus</v>
      </c>
      <c r="J2" s="113" t="str" cm="1">
        <f t="array" ref="J2">TranslateMe(177+COLUMN(J2))</f>
        <v>Bonus ranking</v>
      </c>
    </row>
    <row r="3" spans="1:21">
      <c r="B3" t="s">
        <v>958</v>
      </c>
      <c r="C3" s="42">
        <v>18</v>
      </c>
      <c r="D3" s="7" cm="1">
        <f t="array" ref="D3:D40">_xlfn.RANK.EQ(C3:C40,$C$3:$C$40)</f>
        <v>22</v>
      </c>
      <c r="E3" t="s">
        <v>893</v>
      </c>
      <c r="F3" t="s">
        <v>960</v>
      </c>
      <c r="G3" t="s">
        <v>890</v>
      </c>
      <c r="H3">
        <v>1968</v>
      </c>
      <c r="I3">
        <v>2508</v>
      </c>
      <c r="J3" cm="1">
        <f t="array" ref="J3:J40">_xlfn.RANK.EQ(I3:I40,$I$3:$I$40)</f>
        <v>32</v>
      </c>
    </row>
    <row r="4" spans="1:21">
      <c r="B4" t="s">
        <v>983</v>
      </c>
      <c r="C4" s="42">
        <v>10</v>
      </c>
      <c r="D4" s="7">
        <v>30</v>
      </c>
      <c r="E4" t="s">
        <v>893</v>
      </c>
      <c r="F4" t="s">
        <v>891</v>
      </c>
      <c r="G4" t="s">
        <v>885</v>
      </c>
      <c r="H4">
        <v>1968</v>
      </c>
      <c r="I4">
        <v>2392</v>
      </c>
      <c r="J4">
        <v>33</v>
      </c>
    </row>
    <row r="5" spans="1:21">
      <c r="B5" t="s">
        <v>1006</v>
      </c>
      <c r="C5" s="42">
        <v>28</v>
      </c>
      <c r="D5" s="7">
        <v>12</v>
      </c>
      <c r="E5" t="s">
        <v>883</v>
      </c>
      <c r="F5" t="s">
        <v>886</v>
      </c>
      <c r="G5" t="s">
        <v>890</v>
      </c>
      <c r="H5">
        <v>1970</v>
      </c>
      <c r="I5">
        <v>7119</v>
      </c>
      <c r="J5">
        <v>10</v>
      </c>
    </row>
    <row r="6" spans="1:21">
      <c r="B6" t="s">
        <v>977</v>
      </c>
      <c r="C6" s="42">
        <v>5</v>
      </c>
      <c r="D6" s="7">
        <v>35</v>
      </c>
      <c r="E6" t="s">
        <v>893</v>
      </c>
      <c r="F6" t="s">
        <v>891</v>
      </c>
      <c r="G6" t="s">
        <v>890</v>
      </c>
      <c r="H6">
        <v>1974</v>
      </c>
      <c r="I6">
        <v>1170</v>
      </c>
      <c r="J6">
        <v>35</v>
      </c>
    </row>
    <row r="7" spans="1:21">
      <c r="B7" t="s">
        <v>1000</v>
      </c>
      <c r="C7" s="42">
        <v>44</v>
      </c>
      <c r="D7" s="7">
        <v>5</v>
      </c>
      <c r="E7" t="s">
        <v>883</v>
      </c>
      <c r="F7" t="s">
        <v>886</v>
      </c>
      <c r="G7" t="s">
        <v>890</v>
      </c>
      <c r="H7">
        <v>1974</v>
      </c>
      <c r="I7">
        <v>950</v>
      </c>
      <c r="J7">
        <v>37</v>
      </c>
    </row>
    <row r="8" spans="1:21">
      <c r="B8" t="s">
        <v>1022</v>
      </c>
      <c r="C8" s="42">
        <v>31</v>
      </c>
      <c r="D8" s="7">
        <v>9</v>
      </c>
      <c r="E8" t="s">
        <v>883</v>
      </c>
      <c r="F8" t="s">
        <v>910</v>
      </c>
      <c r="G8" t="s">
        <v>890</v>
      </c>
      <c r="H8">
        <v>1974</v>
      </c>
      <c r="I8">
        <v>5639</v>
      </c>
      <c r="J8">
        <v>14</v>
      </c>
    </row>
    <row r="9" spans="1:21" ht="15.75">
      <c r="B9" t="s">
        <v>979</v>
      </c>
      <c r="C9" s="42">
        <v>9</v>
      </c>
      <c r="D9" s="7">
        <v>31</v>
      </c>
      <c r="E9" t="s">
        <v>893</v>
      </c>
      <c r="F9" t="s">
        <v>891</v>
      </c>
      <c r="G9" t="s">
        <v>890</v>
      </c>
      <c r="H9">
        <v>1977</v>
      </c>
      <c r="I9">
        <v>3345</v>
      </c>
      <c r="J9">
        <v>25</v>
      </c>
      <c r="L9" s="113" t="s">
        <v>682</v>
      </c>
      <c r="M9" s="113"/>
      <c r="N9" s="113"/>
      <c r="O9" s="113"/>
    </row>
    <row r="10" spans="1:21" ht="23.25">
      <c r="B10" t="s">
        <v>1002</v>
      </c>
      <c r="C10" s="42">
        <v>12</v>
      </c>
      <c r="D10" s="7">
        <v>28</v>
      </c>
      <c r="E10" t="s">
        <v>883</v>
      </c>
      <c r="F10" t="s">
        <v>886</v>
      </c>
      <c r="G10" t="s">
        <v>890</v>
      </c>
      <c r="H10">
        <v>1977</v>
      </c>
      <c r="I10">
        <v>4883</v>
      </c>
      <c r="J10">
        <v>19</v>
      </c>
      <c r="L10" s="3" t="s">
        <v>1072</v>
      </c>
      <c r="M10" s="63" cm="1">
        <f t="array" ref="M10:M15">FREQUENCY(H3:H40,L11:L15)</f>
        <v>3</v>
      </c>
      <c r="N10" t="s">
        <v>1073</v>
      </c>
    </row>
    <row r="11" spans="1:21" ht="23.25">
      <c r="B11" t="s">
        <v>1024</v>
      </c>
      <c r="C11" s="42">
        <v>1</v>
      </c>
      <c r="D11" s="7">
        <v>38</v>
      </c>
      <c r="E11" t="s">
        <v>883</v>
      </c>
      <c r="F11" t="s">
        <v>886</v>
      </c>
      <c r="G11" t="s">
        <v>885</v>
      </c>
      <c r="H11">
        <v>1980</v>
      </c>
      <c r="I11">
        <v>7575</v>
      </c>
      <c r="J11">
        <v>7</v>
      </c>
      <c r="L11">
        <v>1970</v>
      </c>
      <c r="M11" s="63">
        <v>6</v>
      </c>
      <c r="N11" t="s">
        <v>1074</v>
      </c>
    </row>
    <row r="12" spans="1:21" ht="23.25">
      <c r="B12" t="s">
        <v>975</v>
      </c>
      <c r="C12" s="42">
        <v>22</v>
      </c>
      <c r="D12" s="7">
        <v>18</v>
      </c>
      <c r="E12" t="s">
        <v>893</v>
      </c>
      <c r="F12" t="s">
        <v>891</v>
      </c>
      <c r="G12" t="s">
        <v>890</v>
      </c>
      <c r="H12">
        <v>1984</v>
      </c>
      <c r="I12">
        <v>9798</v>
      </c>
      <c r="J12">
        <v>1</v>
      </c>
      <c r="L12">
        <v>1980</v>
      </c>
      <c r="M12" s="63">
        <v>12</v>
      </c>
      <c r="N12" t="s">
        <v>1075</v>
      </c>
    </row>
    <row r="13" spans="1:21" ht="23.25">
      <c r="B13" t="s">
        <v>998</v>
      </c>
      <c r="C13" s="42">
        <v>27</v>
      </c>
      <c r="D13" s="7">
        <v>13</v>
      </c>
      <c r="E13" t="s">
        <v>988</v>
      </c>
      <c r="F13" t="s">
        <v>989</v>
      </c>
      <c r="G13" t="s">
        <v>890</v>
      </c>
      <c r="H13">
        <v>1984</v>
      </c>
      <c r="I13">
        <v>3578</v>
      </c>
      <c r="J13">
        <v>23</v>
      </c>
      <c r="L13">
        <v>1990</v>
      </c>
      <c r="M13" s="63">
        <v>6</v>
      </c>
      <c r="N13" t="s">
        <v>1076</v>
      </c>
    </row>
    <row r="14" spans="1:21" ht="23.25">
      <c r="B14" t="s">
        <v>1020</v>
      </c>
      <c r="C14" s="42">
        <v>6</v>
      </c>
      <c r="D14" s="7">
        <v>34</v>
      </c>
      <c r="E14" t="s">
        <v>883</v>
      </c>
      <c r="F14" t="s">
        <v>910</v>
      </c>
      <c r="G14" t="s">
        <v>890</v>
      </c>
      <c r="H14">
        <v>1984</v>
      </c>
      <c r="I14">
        <v>5815</v>
      </c>
      <c r="J14">
        <v>13</v>
      </c>
      <c r="L14">
        <v>2000</v>
      </c>
      <c r="M14" s="63">
        <v>9</v>
      </c>
      <c r="N14" t="s">
        <v>1077</v>
      </c>
    </row>
    <row r="15" spans="1:21" ht="23.25">
      <c r="B15" t="s">
        <v>966</v>
      </c>
      <c r="C15" s="42">
        <v>23</v>
      </c>
      <c r="D15" s="7">
        <v>17</v>
      </c>
      <c r="E15" t="s">
        <v>893</v>
      </c>
      <c r="F15" t="s">
        <v>960</v>
      </c>
      <c r="G15" t="s">
        <v>890</v>
      </c>
      <c r="H15">
        <v>1985</v>
      </c>
      <c r="I15">
        <v>4949</v>
      </c>
      <c r="J15">
        <v>17</v>
      </c>
      <c r="L15">
        <v>2010</v>
      </c>
      <c r="M15" s="63">
        <v>2</v>
      </c>
      <c r="N15" t="s">
        <v>1078</v>
      </c>
    </row>
    <row r="16" spans="1:21" ht="18.75">
      <c r="B16" t="s">
        <v>990</v>
      </c>
      <c r="C16" s="42">
        <v>29</v>
      </c>
      <c r="D16" s="7">
        <v>11</v>
      </c>
      <c r="E16" t="s">
        <v>988</v>
      </c>
      <c r="F16" t="s">
        <v>989</v>
      </c>
      <c r="G16" t="s">
        <v>890</v>
      </c>
      <c r="H16">
        <v>1985</v>
      </c>
      <c r="I16">
        <v>1121</v>
      </c>
      <c r="J16">
        <v>36</v>
      </c>
      <c r="M16" s="24" t="str">
        <f ca="1">_xlfn.FORMULATEXT(M10)</f>
        <v>=FREQUENCE(H3:H40;L11:L15)</v>
      </c>
    </row>
    <row r="17" spans="2:15">
      <c r="B17" t="s">
        <v>1012</v>
      </c>
      <c r="C17" s="42">
        <v>15</v>
      </c>
      <c r="D17" s="7">
        <v>25</v>
      </c>
      <c r="E17" t="s">
        <v>883</v>
      </c>
      <c r="F17" t="s">
        <v>910</v>
      </c>
      <c r="G17" t="s">
        <v>885</v>
      </c>
      <c r="H17">
        <v>1985</v>
      </c>
      <c r="I17">
        <v>9252</v>
      </c>
      <c r="J17">
        <v>3</v>
      </c>
    </row>
    <row r="18" spans="2:15">
      <c r="B18" t="s">
        <v>961</v>
      </c>
      <c r="C18" s="42">
        <v>8</v>
      </c>
      <c r="D18" s="7">
        <v>32</v>
      </c>
      <c r="E18" t="s">
        <v>893</v>
      </c>
      <c r="F18" t="s">
        <v>960</v>
      </c>
      <c r="G18" t="s">
        <v>890</v>
      </c>
      <c r="H18">
        <v>1988</v>
      </c>
      <c r="I18">
        <v>3270</v>
      </c>
      <c r="J18">
        <v>26</v>
      </c>
    </row>
    <row r="19" spans="2:15" ht="15.75">
      <c r="B19" t="s">
        <v>985</v>
      </c>
      <c r="C19" s="42">
        <v>21</v>
      </c>
      <c r="D19" s="7">
        <v>19</v>
      </c>
      <c r="E19" t="s">
        <v>893</v>
      </c>
      <c r="F19" t="s">
        <v>891</v>
      </c>
      <c r="G19" t="s">
        <v>885</v>
      </c>
      <c r="H19">
        <v>1988</v>
      </c>
      <c r="I19">
        <v>8257</v>
      </c>
      <c r="J19">
        <v>4</v>
      </c>
      <c r="L19" s="113" t="s">
        <v>684</v>
      </c>
      <c r="M19" s="113"/>
      <c r="N19" s="113"/>
      <c r="O19" s="113"/>
    </row>
    <row r="20" spans="2:15" ht="23.25">
      <c r="B20" t="s">
        <v>1008</v>
      </c>
      <c r="C20" s="42">
        <v>25</v>
      </c>
      <c r="D20" s="7">
        <v>15</v>
      </c>
      <c r="E20" t="s">
        <v>883</v>
      </c>
      <c r="F20" t="s">
        <v>886</v>
      </c>
      <c r="G20" t="s">
        <v>890</v>
      </c>
      <c r="H20">
        <v>1988</v>
      </c>
      <c r="I20">
        <v>3023</v>
      </c>
      <c r="J20">
        <v>28</v>
      </c>
      <c r="L20" s="3" t="s">
        <v>1072</v>
      </c>
      <c r="M20" s="63" cm="1">
        <f t="array" ref="M20:M26">FREQUENCY($I$3:$I$40,L21:L26)</f>
        <v>10</v>
      </c>
      <c r="N20" t="str">
        <f>"&lt;= "&amp;L21</f>
        <v>&lt;= 3000</v>
      </c>
    </row>
    <row r="21" spans="2:15" ht="23.25">
      <c r="B21" t="s">
        <v>964</v>
      </c>
      <c r="C21" s="42">
        <v>24</v>
      </c>
      <c r="D21" s="7">
        <v>16</v>
      </c>
      <c r="E21" t="s">
        <v>893</v>
      </c>
      <c r="F21" t="s">
        <v>960</v>
      </c>
      <c r="G21" t="s">
        <v>890</v>
      </c>
      <c r="H21">
        <v>1990</v>
      </c>
      <c r="I21">
        <v>7425</v>
      </c>
      <c r="J21">
        <v>8</v>
      </c>
      <c r="L21">
        <v>3000</v>
      </c>
      <c r="M21" s="63">
        <v>6</v>
      </c>
      <c r="N21" t="str">
        <f>"Entre "&amp;L21+1&amp;" et "&amp;L22</f>
        <v>Entre 3001 et 4000</v>
      </c>
    </row>
    <row r="22" spans="2:15" ht="23.25">
      <c r="B22" t="s">
        <v>970</v>
      </c>
      <c r="C22" s="42">
        <v>3</v>
      </c>
      <c r="D22" s="7">
        <v>36</v>
      </c>
      <c r="E22" t="s">
        <v>988</v>
      </c>
      <c r="F22" t="s">
        <v>989</v>
      </c>
      <c r="G22" t="s">
        <v>885</v>
      </c>
      <c r="H22">
        <v>1990</v>
      </c>
      <c r="I22">
        <v>2539</v>
      </c>
      <c r="J22">
        <v>31</v>
      </c>
      <c r="L22">
        <v>4000</v>
      </c>
      <c r="M22" s="63">
        <v>7</v>
      </c>
      <c r="N22" t="str">
        <f t="shared" ref="N22:N25" si="0">"Entre "&amp;L22+1&amp;" et "&amp;L23</f>
        <v>Entre 4001 et 5000</v>
      </c>
    </row>
    <row r="23" spans="2:15" ht="23.25">
      <c r="B23" t="s">
        <v>1079</v>
      </c>
      <c r="C23" s="42">
        <v>61</v>
      </c>
      <c r="D23" s="7">
        <v>1</v>
      </c>
      <c r="E23" t="s">
        <v>883</v>
      </c>
      <c r="F23" t="s">
        <v>886</v>
      </c>
      <c r="G23" t="s">
        <v>900</v>
      </c>
      <c r="H23">
        <v>1990</v>
      </c>
      <c r="I23">
        <v>4324</v>
      </c>
      <c r="J23">
        <v>21</v>
      </c>
      <c r="L23">
        <v>5000</v>
      </c>
      <c r="M23" s="63">
        <v>4</v>
      </c>
      <c r="N23" t="str">
        <f t="shared" si="0"/>
        <v>Entre 5001 et 6500</v>
      </c>
    </row>
    <row r="24" spans="2:15" ht="23.25">
      <c r="B24" t="s">
        <v>973</v>
      </c>
      <c r="C24" s="42">
        <v>19</v>
      </c>
      <c r="D24" s="7">
        <v>21</v>
      </c>
      <c r="E24" t="s">
        <v>893</v>
      </c>
      <c r="F24" t="s">
        <v>960</v>
      </c>
      <c r="G24" t="s">
        <v>890</v>
      </c>
      <c r="H24">
        <v>1996</v>
      </c>
      <c r="I24">
        <v>3152</v>
      </c>
      <c r="J24">
        <v>27</v>
      </c>
      <c r="L24">
        <v>6500</v>
      </c>
      <c r="M24" s="63">
        <v>0</v>
      </c>
      <c r="N24" t="str">
        <f t="shared" si="0"/>
        <v>Entre 6501 et 7000</v>
      </c>
    </row>
    <row r="25" spans="2:15" ht="23.25">
      <c r="B25" t="s">
        <v>996</v>
      </c>
      <c r="C25" s="42">
        <v>16</v>
      </c>
      <c r="D25" s="7">
        <v>24</v>
      </c>
      <c r="E25" t="s">
        <v>988</v>
      </c>
      <c r="F25" t="s">
        <v>989</v>
      </c>
      <c r="G25" t="s">
        <v>885</v>
      </c>
      <c r="H25">
        <v>1996</v>
      </c>
      <c r="I25">
        <v>4307</v>
      </c>
      <c r="J25">
        <v>22</v>
      </c>
      <c r="L25">
        <v>7000</v>
      </c>
      <c r="M25" s="63">
        <v>7</v>
      </c>
      <c r="N25" t="str">
        <f t="shared" si="0"/>
        <v>Entre 7001 et 8000</v>
      </c>
    </row>
    <row r="26" spans="2:15" ht="23.25">
      <c r="B26" t="s">
        <v>1018</v>
      </c>
      <c r="C26" s="42">
        <v>26</v>
      </c>
      <c r="D26" s="7">
        <v>14</v>
      </c>
      <c r="E26" t="s">
        <v>883</v>
      </c>
      <c r="F26" t="s">
        <v>910</v>
      </c>
      <c r="G26" t="s">
        <v>890</v>
      </c>
      <c r="H26">
        <v>1996</v>
      </c>
      <c r="I26">
        <v>6412</v>
      </c>
      <c r="J26">
        <v>12</v>
      </c>
      <c r="L26">
        <v>8000</v>
      </c>
      <c r="M26" s="63">
        <v>4</v>
      </c>
      <c r="N26" t="str">
        <f>"&gt; "&amp;L26</f>
        <v>&gt; 8000</v>
      </c>
    </row>
    <row r="27" spans="2:15" ht="18.75">
      <c r="B27" t="s">
        <v>981</v>
      </c>
      <c r="C27" s="42">
        <v>17</v>
      </c>
      <c r="D27" s="7">
        <v>23</v>
      </c>
      <c r="E27" t="s">
        <v>893</v>
      </c>
      <c r="F27" t="s">
        <v>891</v>
      </c>
      <c r="G27" t="s">
        <v>890</v>
      </c>
      <c r="H27">
        <v>1999</v>
      </c>
      <c r="I27">
        <v>7238</v>
      </c>
      <c r="J27">
        <v>9</v>
      </c>
      <c r="M27" s="24" t="str">
        <f ca="1">_xlfn.FORMULATEXT(M20)</f>
        <v>=FREQUENCE($I$3:$I$40;L21:L26)</v>
      </c>
    </row>
    <row r="28" spans="2:15">
      <c r="B28" t="s">
        <v>1004</v>
      </c>
      <c r="C28" s="42">
        <v>20</v>
      </c>
      <c r="D28" s="7">
        <v>20</v>
      </c>
      <c r="E28" t="s">
        <v>883</v>
      </c>
      <c r="F28" t="s">
        <v>886</v>
      </c>
      <c r="G28" t="s">
        <v>890</v>
      </c>
      <c r="H28">
        <v>1999</v>
      </c>
      <c r="I28">
        <v>4434</v>
      </c>
      <c r="J28">
        <v>20</v>
      </c>
    </row>
    <row r="29" spans="2:15">
      <c r="B29" t="s">
        <v>1080</v>
      </c>
      <c r="C29" s="42">
        <v>51</v>
      </c>
      <c r="D29" s="7">
        <v>3</v>
      </c>
      <c r="E29" t="s">
        <v>883</v>
      </c>
      <c r="F29" t="s">
        <v>910</v>
      </c>
      <c r="G29" t="s">
        <v>885</v>
      </c>
      <c r="H29">
        <v>1999</v>
      </c>
      <c r="I29">
        <v>4973</v>
      </c>
      <c r="J29">
        <v>16</v>
      </c>
    </row>
    <row r="30" spans="2:15">
      <c r="B30" t="s">
        <v>968</v>
      </c>
      <c r="C30" s="42">
        <v>13</v>
      </c>
      <c r="D30" s="7">
        <v>27</v>
      </c>
      <c r="E30" t="s">
        <v>893</v>
      </c>
      <c r="F30" t="s">
        <v>960</v>
      </c>
      <c r="G30" t="s">
        <v>890</v>
      </c>
      <c r="H30">
        <v>2003</v>
      </c>
      <c r="I30">
        <v>7771</v>
      </c>
      <c r="J30">
        <v>5</v>
      </c>
    </row>
    <row r="31" spans="2:15">
      <c r="B31" t="s">
        <v>992</v>
      </c>
      <c r="C31" s="42">
        <v>30</v>
      </c>
      <c r="D31" s="7">
        <v>10</v>
      </c>
      <c r="E31" t="s">
        <v>988</v>
      </c>
      <c r="F31" t="s">
        <v>989</v>
      </c>
      <c r="G31" t="s">
        <v>890</v>
      </c>
      <c r="H31">
        <v>2003</v>
      </c>
      <c r="I31">
        <v>7111</v>
      </c>
      <c r="J31">
        <v>11</v>
      </c>
    </row>
    <row r="32" spans="2:15">
      <c r="B32" t="s">
        <v>1014</v>
      </c>
      <c r="C32" s="42">
        <v>2</v>
      </c>
      <c r="D32" s="7">
        <v>37</v>
      </c>
      <c r="E32" t="s">
        <v>883</v>
      </c>
      <c r="F32" t="s">
        <v>910</v>
      </c>
      <c r="G32" t="s">
        <v>885</v>
      </c>
      <c r="H32">
        <v>2003</v>
      </c>
      <c r="I32">
        <v>9697</v>
      </c>
      <c r="J32">
        <v>2</v>
      </c>
    </row>
    <row r="33" spans="2:10">
      <c r="B33" t="s">
        <v>971</v>
      </c>
      <c r="C33" s="42">
        <v>7</v>
      </c>
      <c r="D33" s="7">
        <v>33</v>
      </c>
      <c r="E33" t="s">
        <v>893</v>
      </c>
      <c r="F33" t="s">
        <v>960</v>
      </c>
      <c r="G33" t="s">
        <v>890</v>
      </c>
      <c r="H33">
        <v>2005</v>
      </c>
      <c r="I33">
        <v>7723</v>
      </c>
      <c r="J33">
        <v>6</v>
      </c>
    </row>
    <row r="34" spans="2:10">
      <c r="B34" t="s">
        <v>994</v>
      </c>
      <c r="C34" s="42">
        <v>14</v>
      </c>
      <c r="D34" s="7">
        <v>26</v>
      </c>
      <c r="E34" t="s">
        <v>988</v>
      </c>
      <c r="F34" t="s">
        <v>989</v>
      </c>
      <c r="G34" t="s">
        <v>885</v>
      </c>
      <c r="H34">
        <v>2005</v>
      </c>
      <c r="I34">
        <v>3496</v>
      </c>
      <c r="J34">
        <v>24</v>
      </c>
    </row>
    <row r="35" spans="2:10">
      <c r="B35" t="s">
        <v>1016</v>
      </c>
      <c r="C35" s="42">
        <v>11</v>
      </c>
      <c r="D35" s="7">
        <v>29</v>
      </c>
      <c r="E35" t="s">
        <v>883</v>
      </c>
      <c r="F35" t="s">
        <v>910</v>
      </c>
      <c r="G35" t="s">
        <v>890</v>
      </c>
      <c r="H35">
        <v>2005</v>
      </c>
      <c r="I35">
        <v>1677</v>
      </c>
      <c r="J35">
        <v>34</v>
      </c>
    </row>
    <row r="36" spans="2:10">
      <c r="B36" t="s">
        <v>1081</v>
      </c>
      <c r="C36" s="42">
        <v>60</v>
      </c>
      <c r="D36" s="7">
        <v>2</v>
      </c>
      <c r="E36" t="s">
        <v>883</v>
      </c>
      <c r="F36" t="s">
        <v>910</v>
      </c>
      <c r="G36" t="s">
        <v>890</v>
      </c>
      <c r="H36">
        <v>2006</v>
      </c>
      <c r="I36">
        <v>2863</v>
      </c>
      <c r="J36">
        <v>29</v>
      </c>
    </row>
    <row r="37" spans="2:10">
      <c r="B37" t="s">
        <v>1082</v>
      </c>
      <c r="C37" s="42">
        <v>41</v>
      </c>
      <c r="D37" s="7">
        <v>7</v>
      </c>
      <c r="E37" t="s">
        <v>883</v>
      </c>
      <c r="F37" t="s">
        <v>910</v>
      </c>
      <c r="G37" t="s">
        <v>890</v>
      </c>
      <c r="H37">
        <v>2007</v>
      </c>
      <c r="I37">
        <v>920</v>
      </c>
      <c r="J37">
        <v>38</v>
      </c>
    </row>
    <row r="38" spans="2:10">
      <c r="B38" t="s">
        <v>1083</v>
      </c>
      <c r="C38" s="42">
        <v>42</v>
      </c>
      <c r="D38" s="7">
        <v>6</v>
      </c>
      <c r="E38" t="s">
        <v>883</v>
      </c>
      <c r="F38" t="s">
        <v>910</v>
      </c>
      <c r="G38" t="s">
        <v>885</v>
      </c>
      <c r="H38">
        <v>2009</v>
      </c>
      <c r="I38">
        <v>2659</v>
      </c>
      <c r="J38">
        <v>30</v>
      </c>
    </row>
    <row r="39" spans="2:10">
      <c r="B39" t="s">
        <v>1084</v>
      </c>
      <c r="C39" s="42">
        <v>46</v>
      </c>
      <c r="D39" s="7">
        <v>4</v>
      </c>
      <c r="E39" t="s">
        <v>883</v>
      </c>
      <c r="F39" t="s">
        <v>910</v>
      </c>
      <c r="G39" t="s">
        <v>890</v>
      </c>
      <c r="H39">
        <v>2011</v>
      </c>
      <c r="I39">
        <v>5234</v>
      </c>
      <c r="J39">
        <v>15</v>
      </c>
    </row>
    <row r="40" spans="2:10">
      <c r="B40" t="s">
        <v>1085</v>
      </c>
      <c r="C40" s="42">
        <v>32</v>
      </c>
      <c r="D40" s="7">
        <v>8</v>
      </c>
      <c r="E40" t="s">
        <v>883</v>
      </c>
      <c r="F40" t="s">
        <v>910</v>
      </c>
      <c r="G40" t="s">
        <v>900</v>
      </c>
      <c r="H40">
        <v>2011</v>
      </c>
      <c r="I40">
        <v>4932</v>
      </c>
      <c r="J40">
        <v>18</v>
      </c>
    </row>
    <row r="44" spans="2:10" ht="18.75">
      <c r="D44" s="24" t="str">
        <f ca="1">_xlfn.FORMULATEXT($D$3)</f>
        <v>=EQUATION.RANG(C3:C40;$C$3:$C$40)</v>
      </c>
      <c r="J44" s="24" t="str">
        <f ca="1">_xlfn.FORMULATEXT($J$3)</f>
        <v>=EQUATION.RANG(I3:I40;$I$3:$I$40)</v>
      </c>
    </row>
  </sheetData>
  <mergeCells count="1">
    <mergeCell ref="P1:U1"/>
  </mergeCells>
  <conditionalFormatting sqref="D3:D43">
    <cfRule type="top10" dxfId="9" priority="4" bottom="1" rank="5"/>
  </conditionalFormatting>
  <conditionalFormatting sqref="H3:H40">
    <cfRule type="cellIs" dxfId="8" priority="9" operator="between">
      <formula>1991</formula>
      <formula>2000</formula>
    </cfRule>
    <cfRule type="cellIs" dxfId="7" priority="10" operator="between">
      <formula>2001</formula>
      <formula>2010</formula>
    </cfRule>
    <cfRule type="cellIs" dxfId="6" priority="11" operator="between">
      <formula>1981</formula>
      <formula>1990</formula>
    </cfRule>
    <cfRule type="cellIs" dxfId="5" priority="12" operator="between">
      <formula>1971</formula>
      <formula>1980</formula>
    </cfRule>
    <cfRule type="cellIs" dxfId="4" priority="13" operator="lessThan">
      <formula>1971</formula>
    </cfRule>
  </conditionalFormatting>
  <conditionalFormatting sqref="I4:J40 I3">
    <cfRule type="top10" dxfId="3" priority="8" rank="5"/>
  </conditionalFormatting>
  <conditionalFormatting sqref="J3">
    <cfRule type="top10" dxfId="2" priority="1" bottom="1" rank="5"/>
    <cfRule type="top10" dxfId="1" priority="2" rank="5"/>
  </conditionalFormatting>
  <conditionalFormatting sqref="J4:K40 J3">
    <cfRule type="top10" dxfId="0" priority="3" bottom="1" rank="5"/>
  </conditionalFormatting>
  <hyperlinks>
    <hyperlink ref="A1" location="MENU!A1" display="MENU!A1" xr:uid="{EB1E91BA-6979-46BE-B3D1-206FD747DC59}"/>
  </hyperlink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114BE43E94E6D047B686AFB7CECCB3CD" ma:contentTypeVersion="3" ma:contentTypeDescription="Crée un document." ma:contentTypeScope="" ma:versionID="ee61e397712e1b6dc7739e32d7ccec9d">
  <xsd:schema xmlns:xsd="http://www.w3.org/2001/XMLSchema" xmlns:xs="http://www.w3.org/2001/XMLSchema" xmlns:p="http://schemas.microsoft.com/office/2006/metadata/properties" xmlns:ns2="037ed5ce-9e80-41f7-81a5-4f297c26d5d9" targetNamespace="http://schemas.microsoft.com/office/2006/metadata/properties" ma:root="true" ma:fieldsID="98486b18ee558285ff8da1122274ee2d" ns2:_="">
    <xsd:import namespace="037ed5ce-9e80-41f7-81a5-4f297c26d5d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7ed5ce-9e80-41f7-81a5-4f297c26d5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1BF6A5-8199-4B90-9A5F-53CADD294C58}"/>
</file>

<file path=customXml/itemProps2.xml><?xml version="1.0" encoding="utf-8"?>
<ds:datastoreItem xmlns:ds="http://schemas.openxmlformats.org/officeDocument/2006/customXml" ds:itemID="{F0B6C72C-9B9E-4AE8-8FFF-B7249A3E84A6}"/>
</file>

<file path=customXml/itemProps3.xml><?xml version="1.0" encoding="utf-8"?>
<ds:datastoreItem xmlns:ds="http://schemas.openxmlformats.org/officeDocument/2006/customXml" ds:itemID="{C2B0CF53-B658-40FE-B386-186BC42FEFA7}"/>
</file>

<file path=customXml/itemProps4.xml><?xml version="1.0" encoding="utf-8"?>
<ds:datastoreItem xmlns:ds="http://schemas.openxmlformats.org/officeDocument/2006/customXml" ds:itemID="{49F3E5FE-29F9-4527-B456-B361A70B3CD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Ludovic Moreau</dc:creator>
  <cp:keywords/>
  <dc:description/>
  <cp:lastModifiedBy>Ludovic Moreau, manager</cp:lastModifiedBy>
  <cp:revision/>
  <dcterms:created xsi:type="dcterms:W3CDTF">2023-08-23T23:50:11Z</dcterms:created>
  <dcterms:modified xsi:type="dcterms:W3CDTF">2026-05-07T20:57:48Z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0x010100114BE43E94E6D047B686AFB7CECCB3CD</vt:lpwstr>
  </property>
  <property fmtid="{D5CDD505-2E9C-101B-9397-08002B2CF9AE}" pid="3" name="MediaServiceImageTags">
    <vt:lpwstr/>
  </property>
  <property fmtid="{D5CDD505-2E9C-101B-9397-08002B2CF9AE}" pid="4" name="Order">
    <vt:r8>428800</vt:r8>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y fmtid="{D5CDD505-2E9C-101B-9397-08002B2CF9AE}" pid="8" name="SharedWithUsers">
    <vt:lpwstr/>
  </property>
</Properties>
</file>